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 defaultThemeVersion="124226"/>
  <bookViews>
    <workbookView xWindow="396" yWindow="60" windowWidth="16260" windowHeight="5856" activeTab="1"/>
  </bookViews>
  <sheets>
    <sheet name="Неявный" sheetId="1" r:id="rId1"/>
    <sheet name="Явный" sheetId="2" r:id="rId2"/>
  </sheets>
  <externalReferences>
    <externalReference r:id="rId3"/>
  </externalReferences>
  <calcPr calcId="162913"/>
</workbook>
</file>

<file path=xl/calcChain.xml><?xml version="1.0" encoding="utf-8"?>
<calcChain xmlns="http://schemas.openxmlformats.org/spreadsheetml/2006/main">
  <c r="F22" i="1" l="1"/>
  <c r="G25" i="1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F22" i="2"/>
  <c r="G25" i="2" s="1"/>
  <c r="N25" i="2"/>
  <c r="N24" i="2"/>
  <c r="I25" i="2"/>
  <c r="I24" i="2"/>
  <c r="H25" i="2"/>
  <c r="J25" i="2"/>
  <c r="H24" i="2"/>
  <c r="G24" i="2" l="1"/>
  <c r="AC25" i="2"/>
  <c r="U25" i="2"/>
  <c r="M25" i="2"/>
  <c r="C4" i="2"/>
  <c r="AI34" i="2" s="1"/>
  <c r="V25" i="2" l="1"/>
  <c r="AD25" i="2"/>
  <c r="M34" i="2"/>
  <c r="U34" i="2"/>
  <c r="AC34" i="2"/>
  <c r="L34" i="2"/>
  <c r="C5" i="2"/>
  <c r="O25" i="2"/>
  <c r="W25" i="2"/>
  <c r="AE25" i="2"/>
  <c r="N34" i="2"/>
  <c r="V34" i="2"/>
  <c r="AD34" i="2"/>
  <c r="P25" i="2"/>
  <c r="X25" i="2"/>
  <c r="AF25" i="2"/>
  <c r="O34" i="2"/>
  <c r="W34" i="2"/>
  <c r="AE34" i="2"/>
  <c r="Q25" i="2"/>
  <c r="Y25" i="2"/>
  <c r="AG25" i="2"/>
  <c r="H34" i="2"/>
  <c r="P34" i="2"/>
  <c r="X34" i="2"/>
  <c r="AF34" i="2"/>
  <c r="T34" i="2"/>
  <c r="R25" i="2"/>
  <c r="Z25" i="2"/>
  <c r="AH25" i="2"/>
  <c r="F31" i="2"/>
  <c r="G34" i="2" s="1"/>
  <c r="I34" i="2"/>
  <c r="Q34" i="2"/>
  <c r="Y34" i="2"/>
  <c r="AG34" i="2"/>
  <c r="G21" i="2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G21" i="2" s="1"/>
  <c r="AH21" i="2" s="1"/>
  <c r="AI21" i="2" s="1"/>
  <c r="AJ21" i="2" s="1"/>
  <c r="K25" i="2"/>
  <c r="S25" i="2"/>
  <c r="AA25" i="2"/>
  <c r="AI25" i="2"/>
  <c r="J34" i="2"/>
  <c r="R34" i="2"/>
  <c r="Z34" i="2"/>
  <c r="AH34" i="2"/>
  <c r="AB34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L25" i="2"/>
  <c r="T25" i="2"/>
  <c r="AB25" i="2"/>
  <c r="G30" i="2"/>
  <c r="H30" i="2" s="1"/>
  <c r="I30" i="2" s="1"/>
  <c r="J30" i="2" s="1"/>
  <c r="K30" i="2" s="1"/>
  <c r="L30" i="2" s="1"/>
  <c r="M30" i="2" s="1"/>
  <c r="N30" i="2" s="1"/>
  <c r="O30" i="2" s="1"/>
  <c r="P30" i="2" s="1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AG30" i="2" s="1"/>
  <c r="AH30" i="2" s="1"/>
  <c r="AI30" i="2" s="1"/>
  <c r="AJ30" i="2" s="1"/>
  <c r="K34" i="2"/>
  <c r="S34" i="2"/>
  <c r="AA34" i="2"/>
  <c r="AF33" i="2" l="1"/>
  <c r="X33" i="2"/>
  <c r="P33" i="2"/>
  <c r="H33" i="2"/>
  <c r="AG24" i="2"/>
  <c r="Y24" i="2"/>
  <c r="Q24" i="2"/>
  <c r="AC15" i="2"/>
  <c r="U15" i="2"/>
  <c r="M15" i="2"/>
  <c r="I33" i="2"/>
  <c r="AH24" i="2"/>
  <c r="V15" i="2"/>
  <c r="AE33" i="2"/>
  <c r="W33" i="2"/>
  <c r="O33" i="2"/>
  <c r="G33" i="2"/>
  <c r="AF24" i="2"/>
  <c r="X24" i="2"/>
  <c r="P24" i="2"/>
  <c r="AB15" i="2"/>
  <c r="T15" i="2"/>
  <c r="L15" i="2"/>
  <c r="Y33" i="2"/>
  <c r="Z24" i="2"/>
  <c r="AD15" i="2"/>
  <c r="AD33" i="2"/>
  <c r="V33" i="2"/>
  <c r="N33" i="2"/>
  <c r="AE24" i="2"/>
  <c r="W24" i="2"/>
  <c r="O24" i="2"/>
  <c r="AI15" i="2"/>
  <c r="AA15" i="2"/>
  <c r="S15" i="2"/>
  <c r="K15" i="2"/>
  <c r="G15" i="2"/>
  <c r="AC33" i="2"/>
  <c r="U33" i="2"/>
  <c r="M33" i="2"/>
  <c r="AD24" i="2"/>
  <c r="V24" i="2"/>
  <c r="AH15" i="2"/>
  <c r="Z15" i="2"/>
  <c r="R15" i="2"/>
  <c r="J15" i="2"/>
  <c r="AG33" i="2"/>
  <c r="R24" i="2"/>
  <c r="N15" i="2"/>
  <c r="AB33" i="2"/>
  <c r="T33" i="2"/>
  <c r="L33" i="2"/>
  <c r="AC24" i="2"/>
  <c r="U24" i="2"/>
  <c r="M24" i="2"/>
  <c r="AG15" i="2"/>
  <c r="Y15" i="2"/>
  <c r="Q15" i="2"/>
  <c r="I15" i="2"/>
  <c r="Q33" i="2"/>
  <c r="AI33" i="2"/>
  <c r="AA33" i="2"/>
  <c r="S33" i="2"/>
  <c r="K33" i="2"/>
  <c r="AB24" i="2"/>
  <c r="T24" i="2"/>
  <c r="L24" i="2"/>
  <c r="AF15" i="2"/>
  <c r="X15" i="2"/>
  <c r="P15" i="2"/>
  <c r="H15" i="2"/>
  <c r="AE15" i="2"/>
  <c r="O15" i="2"/>
  <c r="AH33" i="2"/>
  <c r="Z33" i="2"/>
  <c r="R33" i="2"/>
  <c r="J33" i="2"/>
  <c r="AI24" i="2"/>
  <c r="AA24" i="2"/>
  <c r="S24" i="2"/>
  <c r="K24" i="2"/>
  <c r="W15" i="2"/>
  <c r="J24" i="2"/>
  <c r="H16" i="1" l="1"/>
  <c r="AI16" i="1"/>
  <c r="O16" i="1"/>
  <c r="W16" i="1"/>
  <c r="AE16" i="1"/>
  <c r="F18" i="1"/>
  <c r="AJ16" i="1" l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C4" i="1" l="1"/>
  <c r="AG38" i="1" s="1"/>
  <c r="AE25" i="1" l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C15" i="1"/>
  <c r="G27" i="1" s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J4" i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G18" i="1" l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H18" i="1" s="1"/>
  <c r="G37" i="1"/>
  <c r="H17" i="1" l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I18" i="1" l="1"/>
  <c r="J18" i="1" s="1"/>
  <c r="K18" i="1"/>
  <c r="L18" i="1" l="1"/>
  <c r="M18" i="1" l="1"/>
  <c r="N18" i="1" l="1"/>
  <c r="O18" i="1" l="1"/>
  <c r="P18" i="1" s="1"/>
  <c r="Q18" i="1" l="1"/>
  <c r="R18" i="1" l="1"/>
  <c r="S18" i="1" l="1"/>
  <c r="T18" i="1" l="1"/>
  <c r="U18" i="1" l="1"/>
  <c r="V18" i="1" l="1"/>
  <c r="W18" i="1" l="1"/>
  <c r="X18" i="1" l="1"/>
  <c r="Y18" i="1" l="1"/>
  <c r="Z18" i="1" l="1"/>
  <c r="AA18" i="1" l="1"/>
  <c r="AB18" i="1" l="1"/>
  <c r="AC18" i="1" l="1"/>
  <c r="AD18" i="1" l="1"/>
  <c r="AE18" i="1" l="1"/>
  <c r="AF18" i="1" l="1"/>
  <c r="AG18" i="1" l="1"/>
  <c r="AH18" i="1" l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<sst xmlns="http://schemas.openxmlformats.org/spreadsheetml/2006/main" count="63" uniqueCount="23">
  <si>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</si>
  <si>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</si>
  <si>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</si>
  <si>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</si>
  <si>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</si>
  <si>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</si>
  <si>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</si>
  <si>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</si>
  <si>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</si>
  <si>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</si>
  <si>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</si>
  <si>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</si>
  <si>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</si>
  <si>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</si>
  <si>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</si>
  <si>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</si>
  <si>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</si>
  <si>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A</t>
  </si>
  <si>
    <t>B</t>
  </si>
  <si>
    <t>C</t>
  </si>
  <si>
    <t>F</t>
  </si>
  <si>
    <t>Alpha</t>
  </si>
  <si>
    <t>Betta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</si>
</sst>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_ ;\-0.000\ "/>
    <numFmt numFmtId="166" formatCode="0_ ;\-0\ "/>
    <numFmt numFmtId="167" formatCode="0.00_ ;\-0.00\ 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1" fontId="0" fillId="0" borderId="0" xfId="0" applyNumberFormat="1"/>
    <xf numFmtId="166" fontId="0" fillId="0" borderId="0" xfId="0" applyNumberFormat="1"/>
    <xf numFmtId="0" fontId="0" fillId="0" borderId="1" xfId="0" applyFill="1" applyBorder="1"/>
    <xf numFmtId="0" fontId="0" fillId="0" borderId="2" xfId="0" applyFill="1" applyBorder="1"/>
    <xf numFmtId="167" fontId="0" fillId="0" borderId="0" xfId="0" applyNumberFormat="1"/>
    <xf numFmtId="167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607130415721785E-2"/>
          <c:y val="1.2036524239691799E-2"/>
          <c:w val="0.76891278232984672"/>
          <c:h val="0.9286900157821939"/>
        </c:manualLayout>
      </c:layout>
      <c:lineChart>
        <c:grouping val="standard"/>
        <c:varyColors val="0"/>
        <c:ser>
          <c:idx val="1"/>
          <c:order val="0"/>
          <c:tx>
            <c:v>Явный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val>
            <c:numRef>
              <c:f>Явный!$F$13:$AJ$13</c:f>
              <c:numCache>
                <c:formatCode>0.00_ ;\-0.00\ </c:formatCode>
                <c:ptCount val="31"/>
                <c:pt idx="0">
                  <c:v>300</c:v>
                </c:pt>
                <c:pt idx="1">
                  <c:v>293.25780786115405</c:v>
                </c:pt>
                <c:pt idx="2">
                  <c:v>286.5156157223081</c:v>
                </c:pt>
                <c:pt idx="3">
                  <c:v>279.7767244091051</c:v>
                </c:pt>
                <c:pt idx="4">
                  <c:v>273.0378330959021</c:v>
                </c:pt>
                <c:pt idx="5">
                  <c:v>266.30539917204851</c:v>
                </c:pt>
                <c:pt idx="6">
                  <c:v>259.57296524819492</c:v>
                </c:pt>
                <c:pt idx="7">
                  <c:v>252.84986305846581</c:v>
                </c:pt>
                <c:pt idx="8">
                  <c:v>246.12676086873671</c:v>
                </c:pt>
                <c:pt idx="9">
                  <c:v>239.41545691630802</c:v>
                </c:pt>
                <c:pt idx="10">
                  <c:v>232.70415296387932</c:v>
                </c:pt>
                <c:pt idx="11">
                  <c:v>226.00659811230153</c:v>
                </c:pt>
                <c:pt idx="12">
                  <c:v>219.30904326072374</c:v>
                </c:pt>
                <c:pt idx="13">
                  <c:v>212.62658747182891</c:v>
                </c:pt>
                <c:pt idx="14">
                  <c:v>205.94413168293408</c:v>
                </c:pt>
                <c:pt idx="15">
                  <c:v>199.27746501703731</c:v>
                </c:pt>
                <c:pt idx="16">
                  <c:v>192.61079835114055</c:v>
                </c:pt>
                <c:pt idx="17">
                  <c:v>185.95992080810871</c:v>
                </c:pt>
                <c:pt idx="18">
                  <c:v>179.30904326507687</c:v>
                </c:pt>
                <c:pt idx="19">
                  <c:v>172.6732647843516</c:v>
                </c:pt>
                <c:pt idx="20">
                  <c:v>166.03748630362634</c:v>
                </c:pt>
                <c:pt idx="21">
                  <c:v>159.4154569231975</c:v>
                </c:pt>
                <c:pt idx="22">
                  <c:v>152.79342754276868</c:v>
                </c:pt>
                <c:pt idx="23">
                  <c:v>146.18319639900352</c:v>
                </c:pt>
                <c:pt idx="24">
                  <c:v>139.57296525523833</c:v>
                </c:pt>
                <c:pt idx="25">
                  <c:v>132.97206584498872</c:v>
                </c:pt>
                <c:pt idx="26">
                  <c:v>126.37116643473912</c:v>
                </c:pt>
                <c:pt idx="27">
                  <c:v>119.77672441336307</c:v>
                </c:pt>
                <c:pt idx="28">
                  <c:v>113.18228239198703</c:v>
                </c:pt>
                <c:pt idx="29">
                  <c:v>106.59114119599352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C2D-4241-9BD4-6ECA95466625}"/>
            </c:ext>
          </c:extLst>
        </c:ser>
        <c:ser>
          <c:idx val="2"/>
          <c:order val="1"/>
          <c:tx>
            <c:v>Неявный</c:v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val>
            <c:numRef>
              <c:f>Неявный!$F$13:$AJ$13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281.18191853916846</c:v>
                </c:pt>
                <c:pt idx="2">
                  <c:v>262.5422523076553</c:v>
                </c:pt>
                <c:pt idx="3">
                  <c:v>244.25393952101794</c:v>
                </c:pt>
                <c:pt idx="4">
                  <c:v>226.47947480392662</c:v>
                </c:pt>
                <c:pt idx="5">
                  <c:v>209.36682610946494</c:v>
                </c:pt>
                <c:pt idx="6">
                  <c:v>193.04643725636214</c:v>
                </c:pt>
                <c:pt idx="7">
                  <c:v>177.62936415475207</c:v>
                </c:pt>
                <c:pt idx="8">
                  <c:v>163.2064755025059</c:v>
                </c:pt>
                <c:pt idx="9">
                  <c:v>149.84857162761665</c:v>
                </c:pt>
                <c:pt idx="10">
                  <c:v>137.60723368431263</c:v>
                </c:pt>
                <c:pt idx="11">
                  <c:v>126.51620198058114</c:v>
                </c:pt>
                <c:pt idx="12">
                  <c:v>116.59308882972489</c:v>
                </c:pt>
                <c:pt idx="13">
                  <c:v>107.84125089999044</c:v>
                </c:pt>
                <c:pt idx="14">
                  <c:v>100.25167293163912</c:v>
                </c:pt>
                <c:pt idx="15">
                  <c:v>93.804744745013807</c:v>
                </c:pt>
                <c:pt idx="16">
                  <c:v>88.471843867395691</c:v>
                </c:pt>
                <c:pt idx="17">
                  <c:v>84.216665151745758</c:v>
                </c:pt>
                <c:pt idx="18">
                  <c:v>80.996265566606141</c:v>
                </c:pt>
                <c:pt idx="19">
                  <c:v>78.761816592041356</c:v>
                </c:pt>
                <c:pt idx="20">
                  <c:v>77.459078383852159</c:v>
                </c:pt>
                <c:pt idx="21">
                  <c:v>77.02862921624164</c:v>
                </c:pt>
                <c:pt idx="22">
                  <c:v>77.405900774524639</c:v>
                </c:pt>
                <c:pt idx="23">
                  <c:v>78.521084519754638</c:v>
                </c:pt>
                <c:pt idx="24">
                  <c:v>80.298986103025712</c:v>
                </c:pt>
                <c:pt idx="25">
                  <c:v>82.658912712240308</c:v>
                </c:pt>
                <c:pt idx="26">
                  <c:v>85.514680789677115</c:v>
                </c:pt>
                <c:pt idx="27">
                  <c:v>88.774826738945777</c:v>
                </c:pt>
                <c:pt idx="28">
                  <c:v>92.343088660120486</c:v>
                </c:pt>
                <c:pt idx="29">
                  <c:v>96.119200505506953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909-4C2E-8E19-DB40C7CC8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482624"/>
        <c:axId val="203484160"/>
      </c:lineChart>
      <c:catAx>
        <c:axId val="203482624"/>
        <c:scaling>
          <c:orientation val="minMax"/>
        </c:scaling>
        <c:delete val="0"/>
        <c:axPos val="b"/>
        <c:majorTickMark val="out"/>
        <c:minorTickMark val="none"/>
        <c:tickLblPos val="nextTo"/>
        <c:crossAx val="203484160"/>
        <c:crosses val="autoZero"/>
        <c:auto val="1"/>
        <c:lblAlgn val="ctr"/>
        <c:lblOffset val="100"/>
        <c:noMultiLvlLbl val="0"/>
      </c:catAx>
      <c:valAx>
        <c:axId val="203484160"/>
        <c:scaling>
          <c:orientation val="minMax"/>
        </c:scaling>
        <c:delete val="0"/>
        <c:axPos val="l"/>
        <c:majorGridlines/>
        <c:numFmt formatCode="0.00_ ;\-0.00\ " sourceLinked="1"/>
        <c:majorTickMark val="out"/>
        <c:minorTickMark val="none"/>
        <c:tickLblPos val="nextTo"/>
        <c:crossAx val="203482624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sz="1200"/>
          </a:pPr>
          <a:endParaRPr lang="ru-RU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[1]Лист1!$F$13:$AJ$13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280.50947535568343</c:v>
                </c:pt>
                <c:pt idx="2">
                  <c:v>261.34019768006675</c:v>
                </c:pt>
                <c:pt idx="3">
                  <c:v>242.17092000445004</c:v>
                </c:pt>
                <c:pt idx="4">
                  <c:v>223.94348784691761</c:v>
                </c:pt>
                <c:pt idx="5">
                  <c:v>205.71605568938512</c:v>
                </c:pt>
                <c:pt idx="6">
                  <c:v>188.98798976713792</c:v>
                </c:pt>
                <c:pt idx="7">
                  <c:v>172.25992384489069</c:v>
                </c:pt>
                <c:pt idx="8">
                  <c:v>157.4917970899659</c:v>
                </c:pt>
                <c:pt idx="9">
                  <c:v>142.72367033504111</c:v>
                </c:pt>
                <c:pt idx="10">
                  <c:v>130.25585219566563</c:v>
                </c:pt>
                <c:pt idx="11">
                  <c:v>117.78803405629017</c:v>
                </c:pt>
                <c:pt idx="12">
                  <c:v>107.82942130675656</c:v>
                </c:pt>
                <c:pt idx="13">
                  <c:v>97.870808557222944</c:v>
                </c:pt>
                <c:pt idx="14">
                  <c:v>90.498936030544343</c:v>
                </c:pt>
                <c:pt idx="15">
                  <c:v>83.127063503865742</c:v>
                </c:pt>
                <c:pt idx="16">
                  <c:v>78.297409442647279</c:v>
                </c:pt>
                <c:pt idx="17">
                  <c:v>73.467755381428844</c:v>
                </c:pt>
                <c:pt idx="18">
                  <c:v>71.029173463903746</c:v>
                </c:pt>
                <c:pt idx="19">
                  <c:v>68.590591546378676</c:v>
                </c:pt>
                <c:pt idx="20">
                  <c:v>68.30369074500706</c:v>
                </c:pt>
                <c:pt idx="21">
                  <c:v>68.016789943635459</c:v>
                </c:pt>
                <c:pt idx="22">
                  <c:v>69.572608509723267</c:v>
                </c:pt>
                <c:pt idx="23">
                  <c:v>71.128427075811075</c:v>
                </c:pt>
                <c:pt idx="24">
                  <c:v>74.165635391039984</c:v>
                </c:pt>
                <c:pt idx="25">
                  <c:v>77.202843706268908</c:v>
                </c:pt>
                <c:pt idx="26">
                  <c:v>81.322660058722235</c:v>
                </c:pt>
                <c:pt idx="27">
                  <c:v>85.442476411175562</c:v>
                </c:pt>
                <c:pt idx="28">
                  <c:v>90.221256942685855</c:v>
                </c:pt>
                <c:pt idx="29">
                  <c:v>95.000037474196134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B03-4F8B-A14C-5AD0BC91F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86880"/>
        <c:axId val="205388416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[1]Лист1!$F$12:$AJ$12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</c:v>
                      </c:pt>
                      <c:pt idx="1">
                        <c:v>3.3333333333333335E-3</c:v>
                      </c:pt>
                      <c:pt idx="2">
                        <c:v>6.6666666666666671E-3</c:v>
                      </c:pt>
                      <c:pt idx="3">
                        <c:v>0.01</c:v>
                      </c:pt>
                      <c:pt idx="4">
                        <c:v>1.3333333333333334E-2</c:v>
                      </c:pt>
                      <c:pt idx="5">
                        <c:v>1.6666666666666666E-2</c:v>
                      </c:pt>
                      <c:pt idx="6">
                        <c:v>0.02</c:v>
                      </c:pt>
                      <c:pt idx="7">
                        <c:v>2.3333333333333334E-2</c:v>
                      </c:pt>
                      <c:pt idx="8">
                        <c:v>2.6666666666666668E-2</c:v>
                      </c:pt>
                      <c:pt idx="9">
                        <c:v>3.0000000000000002E-2</c:v>
                      </c:pt>
                      <c:pt idx="10">
                        <c:v>3.3333333333333333E-2</c:v>
                      </c:pt>
                      <c:pt idx="11">
                        <c:v>3.6666666666666667E-2</c:v>
                      </c:pt>
                      <c:pt idx="12">
                        <c:v>0.04</c:v>
                      </c:pt>
                      <c:pt idx="13">
                        <c:v>4.3333333333333335E-2</c:v>
                      </c:pt>
                      <c:pt idx="14">
                        <c:v>4.6666666666666669E-2</c:v>
                      </c:pt>
                      <c:pt idx="15">
                        <c:v>0.05</c:v>
                      </c:pt>
                      <c:pt idx="16">
                        <c:v>5.3333333333333337E-2</c:v>
                      </c:pt>
                      <c:pt idx="17">
                        <c:v>5.6666666666666671E-2</c:v>
                      </c:pt>
                      <c:pt idx="18">
                        <c:v>6.0000000000000005E-2</c:v>
                      </c:pt>
                      <c:pt idx="19">
                        <c:v>6.3333333333333339E-2</c:v>
                      </c:pt>
                      <c:pt idx="20">
                        <c:v>6.6666666666666666E-2</c:v>
                      </c:pt>
                      <c:pt idx="21">
                        <c:v>6.9999999999999993E-2</c:v>
                      </c:pt>
                      <c:pt idx="22">
                        <c:v>7.333333333333332E-2</c:v>
                      </c:pt>
                      <c:pt idx="23">
                        <c:v>7.6666666666666647E-2</c:v>
                      </c:pt>
                      <c:pt idx="24">
                        <c:v>7.9999999999999974E-2</c:v>
                      </c:pt>
                      <c:pt idx="25">
                        <c:v>8.3333333333333301E-2</c:v>
                      </c:pt>
                      <c:pt idx="26">
                        <c:v>8.6666666666666628E-2</c:v>
                      </c:pt>
                      <c:pt idx="27">
                        <c:v>8.9999999999999955E-2</c:v>
                      </c:pt>
                      <c:pt idx="28">
                        <c:v>9.3333333333333282E-2</c:v>
                      </c:pt>
                      <c:pt idx="29">
                        <c:v>9.6666666666666609E-2</c:v>
                      </c:pt>
                      <c:pt idx="30">
                        <c:v>9.9999999999999936E-2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B03-4F8B-A14C-5AD0BC91FA70}"/>
                  </c:ext>
                </c:extLst>
              </c15:ser>
            </c15:filteredLineSeries>
          </c:ext>
        </c:extLst>
      </c:lineChart>
      <c:catAx>
        <c:axId val="205386880"/>
        <c:scaling>
          <c:orientation val="minMax"/>
        </c:scaling>
        <c:delete val="0"/>
        <c:axPos val="b"/>
        <c:majorTickMark val="out"/>
        <c:minorTickMark val="none"/>
        <c:tickLblPos val="nextTo"/>
        <c:crossAx val="205388416"/>
        <c:crosses val="autoZero"/>
        <c:auto val="1"/>
        <c:lblAlgn val="ctr"/>
        <c:lblOffset val="100"/>
        <c:noMultiLvlLbl val="0"/>
      </c:catAx>
      <c:valAx>
        <c:axId val="205388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3868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214312</xdr:colOff>
      <xdr:row>43</xdr:row>
      <xdr:rowOff>128587</xdr:rowOff>
    </xdr:from>
    <xdr:to>
      <xdr:col>16</xdr:col>
      <xdr:colOff>916781</xdr:colOff>
      <xdr:row>77</xdr:row>
      <xdr:rowOff>90489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388144</xdr:colOff>
      <xdr:row>44</xdr:row>
      <xdr:rowOff>159544</xdr:rowOff>
    </xdr:from>
    <xdr:ext cx="56816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4722019" y="8541544"/>
              <a:ext cx="56816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T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800" i="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4722019" y="8541544"/>
              <a:ext cx="56816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T, (c)</a:t>
              </a:r>
              <a:endParaRPr lang="ru-RU" sz="1800" i="0"/>
            </a:p>
          </xdr:txBody>
        </xdr:sp>
      </mc:Fallback>
    </mc:AlternateContent>
    <xdr:clientData/>
  </xdr:oneCellAnchor>
  <xdr:oneCellAnchor>
    <xdr:from>
      <xdr:col>15</xdr:col>
      <xdr:colOff>835818</xdr:colOff>
      <xdr:row>75</xdr:row>
      <xdr:rowOff>59531</xdr:rowOff>
    </xdr:from>
    <xdr:ext cx="645498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13432631" y="14347031"/>
              <a:ext cx="645498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m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800" i="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13432631" y="14347031"/>
              <a:ext cx="645498" cy="281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L, (m)</a:t>
              </a:r>
              <a:endParaRPr lang="ru-RU" sz="1800" i="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529114</xdr:colOff>
      <xdr:row>37</xdr:row>
      <xdr:rowOff>85247</xdr:rowOff>
    </xdr:from>
    <xdr:to>
      <xdr:col>18</xdr:col>
      <xdr:colOff>220980</xdr:colOff>
      <xdr:row>57</xdr:row>
      <xdr:rowOff>129540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601980</xdr:colOff>
      <xdr:row>37</xdr:row>
      <xdr:rowOff>114300</xdr:rowOff>
    </xdr:from>
    <xdr:ext cx="505010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3649980" y="6880860"/>
              <a:ext cx="50501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T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600" i="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649980" y="6880860"/>
              <a:ext cx="50501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T, (c)</a:t>
              </a:r>
              <a:endParaRPr lang="ru-RU" sz="1600" i="0"/>
            </a:p>
          </xdr:txBody>
        </xdr:sp>
      </mc:Fallback>
    </mc:AlternateContent>
    <xdr:clientData/>
  </xdr:oneCellAnchor>
  <xdr:oneCellAnchor>
    <xdr:from>
      <xdr:col>17</xdr:col>
      <xdr:colOff>182880</xdr:colOff>
      <xdr:row>55</xdr:row>
      <xdr:rowOff>167640</xdr:rowOff>
    </xdr:from>
    <xdr:ext cx="573747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0546080" y="10226040"/>
              <a:ext cx="573747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m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 i="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0546080" y="10226040"/>
              <a:ext cx="573747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L, (m)</a:t>
              </a:r>
              <a:endParaRPr lang="ru-RU" sz="1100" i="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leb/Desktop/Prk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280.50947535568343</v>
          </cell>
          <cell r="H13">
            <v>261.34019768006675</v>
          </cell>
          <cell r="I13">
            <v>242.17092000445004</v>
          </cell>
          <cell r="J13">
            <v>223.94348784691761</v>
          </cell>
          <cell r="K13">
            <v>205.71605568938512</v>
          </cell>
          <cell r="L13">
            <v>188.98798976713792</v>
          </cell>
          <cell r="M13">
            <v>172.25992384489069</v>
          </cell>
          <cell r="N13">
            <v>157.4917970899659</v>
          </cell>
          <cell r="O13">
            <v>142.72367033504111</v>
          </cell>
          <cell r="P13">
            <v>130.25585219566563</v>
          </cell>
          <cell r="Q13">
            <v>117.78803405629017</v>
          </cell>
          <cell r="R13">
            <v>107.82942130675656</v>
          </cell>
          <cell r="S13">
            <v>97.870808557222944</v>
          </cell>
          <cell r="T13">
            <v>90.498936030544343</v>
          </cell>
          <cell r="U13">
            <v>83.127063503865742</v>
          </cell>
          <cell r="V13">
            <v>78.297409442647279</v>
          </cell>
          <cell r="W13">
            <v>73.467755381428844</v>
          </cell>
          <cell r="X13">
            <v>71.029173463903746</v>
          </cell>
          <cell r="Y13">
            <v>68.590591546378676</v>
          </cell>
          <cell r="Z13">
            <v>68.30369074500706</v>
          </cell>
          <cell r="AA13">
            <v>68.016789943635459</v>
          </cell>
          <cell r="AB13">
            <v>69.572608509723267</v>
          </cell>
          <cell r="AC13">
            <v>71.128427075811075</v>
          </cell>
          <cell r="AD13">
            <v>74.165635391039984</v>
          </cell>
          <cell r="AE13">
            <v>77.202843706268908</v>
          </cell>
          <cell r="AF13">
            <v>81.322660058722235</v>
          </cell>
          <cell r="AG13">
            <v>85.442476411175562</v>
          </cell>
          <cell r="AH13">
            <v>90.221256942685855</v>
          </cell>
          <cell r="AI13">
            <v>95.000037474196134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38"/>
  <sheetViews>
    <sheetView zoomScale="40" zoomScaleNormal="40" workbookViewId="0">
      <selection activeCell="S69" sqref="S69:S70"/>
    </sheetView>
  </sheetViews>
  <sheetFormatPr defaultRowHeight="14.4" x14ac:dyDescent="0.3"/>
  <cols>
    <col min="3" max="3" width="14.33203125" customWidth="1"/>
    <col min="6" max="12" width="14.33203125" bestFit="1" customWidth="1"/>
    <col min="13" max="13" width="9.6640625" customWidth="1"/>
    <col min="14" max="35" width="14.33203125" bestFit="1" customWidth="1"/>
    <col min="36" max="36" width="11.6640625" customWidth="1"/>
  </cols>
  <sheetData>
    <row r="3" spans="2:36" ht="15" x14ac:dyDescent="0.25">
      <c r="B3" s="2" t="s">
        <v>0</v>
      </c>
      <c r="C3" s="3">
        <v>0.1</v>
      </c>
    </row>
    <row r="4" spans="2:36" ht="15" x14ac:dyDescent="0.25">
      <c r="B4" s="2" t="s">
        <v>1</v>
      </c>
      <c r="C4" s="3">
        <f>C3/30</f>
        <v>3.3333333333333335E-3</v>
      </c>
      <c r="J4">
        <f>(C9*C8*(C4^2))/(2*C10)</f>
        <v>0.4333333333333334</v>
      </c>
    </row>
    <row r="5" spans="2:36" ht="15" x14ac:dyDescent="0.25">
      <c r="B5" s="2" t="s">
        <v>2</v>
      </c>
      <c r="C5" s="3">
        <v>15</v>
      </c>
    </row>
    <row r="6" spans="2:36" ht="15" x14ac:dyDescent="0.25">
      <c r="B6" s="2" t="s">
        <v>3</v>
      </c>
      <c r="C6" s="3">
        <v>1200</v>
      </c>
      <c r="D6">
        <v>1215</v>
      </c>
    </row>
    <row r="7" spans="2:36" ht="15" x14ac:dyDescent="0.25">
      <c r="C7" s="1"/>
      <c r="M7" t="s">
        <v>16</v>
      </c>
    </row>
    <row r="8" spans="2:36" ht="15" x14ac:dyDescent="0.25">
      <c r="B8" s="2" t="s">
        <v>4</v>
      </c>
      <c r="C8" s="4">
        <v>460</v>
      </c>
    </row>
    <row r="9" spans="2:36" ht="15" x14ac:dyDescent="0.25">
      <c r="B9" s="2" t="s">
        <v>5</v>
      </c>
      <c r="C9" s="4">
        <v>7800</v>
      </c>
    </row>
    <row r="10" spans="2:36" ht="15" x14ac:dyDescent="0.25">
      <c r="B10" s="2" t="s">
        <v>6</v>
      </c>
      <c r="C10" s="4">
        <v>46</v>
      </c>
    </row>
    <row r="11" spans="2:36" ht="15" x14ac:dyDescent="0.25"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ht="15" x14ac:dyDescent="0.25">
      <c r="B12" s="2" t="s">
        <v>8</v>
      </c>
      <c r="C12" s="3">
        <v>300</v>
      </c>
      <c r="E1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ht="15" x14ac:dyDescent="0.25">
      <c r="B13" s="2" t="s">
        <v>9</v>
      </c>
      <c r="C13" s="3">
        <v>100</v>
      </c>
      <c r="E13" t="s">
        <v>7</v>
      </c>
      <c r="F13">
        <v>300</v>
      </c>
      <c r="G13">
        <v>281.18191853916846</v>
      </c>
      <c r="H13">
        <v>262.5422523076553</v>
      </c>
      <c r="I13">
        <v>244.25393952101794</v>
      </c>
      <c r="J13">
        <v>226.47947480392662</v>
      </c>
      <c r="K13">
        <v>209.36682610946494</v>
      </c>
      <c r="L13">
        <v>193.04643725636214</v>
      </c>
      <c r="M13">
        <v>177.62936415475207</v>
      </c>
      <c r="N13">
        <v>163.2064755025059</v>
      </c>
      <c r="O13">
        <v>149.84857162761665</v>
      </c>
      <c r="P13">
        <v>137.60723368431263</v>
      </c>
      <c r="Q13">
        <v>126.51620198058114</v>
      </c>
      <c r="R13">
        <v>116.59308882972489</v>
      </c>
      <c r="S13">
        <v>107.84125089999044</v>
      </c>
      <c r="T13">
        <v>100.25167293163912</v>
      </c>
      <c r="U13">
        <v>93.804744745013807</v>
      </c>
      <c r="V13">
        <v>88.471843867395691</v>
      </c>
      <c r="W13">
        <v>84.216665151745758</v>
      </c>
      <c r="X13">
        <v>80.996265566606141</v>
      </c>
      <c r="Y13">
        <v>78.761816592041356</v>
      </c>
      <c r="Z13">
        <v>77.459078383852159</v>
      </c>
      <c r="AA13">
        <v>77.02862921624164</v>
      </c>
      <c r="AB13">
        <v>77.405900774524639</v>
      </c>
      <c r="AC13">
        <v>78.521084519754638</v>
      </c>
      <c r="AD13">
        <v>80.298986103025712</v>
      </c>
      <c r="AE13">
        <v>82.658912712240308</v>
      </c>
      <c r="AF13">
        <v>85.514680789677115</v>
      </c>
      <c r="AG13">
        <v>88.774826738945777</v>
      </c>
      <c r="AH13">
        <v>92.343088660120486</v>
      </c>
      <c r="AI13">
        <v>96.119200505506953</v>
      </c>
      <c r="AJ13">
        <v>100</v>
      </c>
    </row>
    <row r="14" spans="2:36" ht="15" x14ac:dyDescent="0.25">
      <c r="B14" s="8" t="s">
        <v>17</v>
      </c>
      <c r="C14" s="2">
        <f>$C$10/($C$4^2)</f>
        <v>4139999.9999999991</v>
      </c>
    </row>
    <row r="15" spans="2:36" ht="15" x14ac:dyDescent="0.25">
      <c r="B15" s="8" t="s">
        <v>18</v>
      </c>
      <c r="C15" s="2">
        <f>(2*$C$10)/($C$4^2)+($C$9*$C$8)/$C$5</f>
        <v>8519199.9999999981</v>
      </c>
      <c r="E15" t="s">
        <v>10</v>
      </c>
      <c r="G15">
        <f>G17*H15+G18</f>
        <v>283.42976939477853</v>
      </c>
      <c r="H15">
        <f t="shared" ref="H15:AH15" si="1">H17*I15+H18</f>
        <v>266.98941461677003</v>
      </c>
      <c r="I15">
        <f t="shared" si="1"/>
        <v>250.80600699439933</v>
      </c>
      <c r="J15">
        <f t="shared" si="1"/>
        <v>235.00116327049065</v>
      </c>
      <c r="K15">
        <f t="shared" si="1"/>
        <v>219.68868376909455</v>
      </c>
      <c r="L15">
        <f t="shared" si="1"/>
        <v>204.9725782658104</v>
      </c>
      <c r="M15">
        <f t="shared" si="1"/>
        <v>190.94553868751657</v>
      </c>
      <c r="N15">
        <f t="shared" si="1"/>
        <v>177.68787808222694</v>
      </c>
      <c r="O15">
        <f t="shared" si="1"/>
        <v>165.26692073709899</v>
      </c>
      <c r="P15">
        <f t="shared" si="1"/>
        <v>153.73680134051889</v>
      </c>
      <c r="Q15">
        <f t="shared" si="1"/>
        <v>143.13861251963073</v>
      </c>
      <c r="R15">
        <f t="shared" si="1"/>
        <v>133.50082964099875</v>
      </c>
      <c r="S15">
        <f t="shared" si="1"/>
        <v>124.83993845368482</v>
      </c>
      <c r="T15">
        <f t="shared" si="1"/>
        <v>117.16119365836209</v>
      </c>
      <c r="U15">
        <f t="shared" si="1"/>
        <v>110.45944339391671</v>
      </c>
      <c r="V15">
        <f t="shared" si="1"/>
        <v>104.7199646069635</v>
      </c>
      <c r="W15">
        <f t="shared" si="1"/>
        <v>99.919266129407561</v>
      </c>
      <c r="X15">
        <f t="shared" si="1"/>
        <v>96.025829041672068</v>
      </c>
      <c r="Y15">
        <f t="shared" si="1"/>
        <v>93.000766732495947</v>
      </c>
      <c r="Z15">
        <f t="shared" si="1"/>
        <v>90.798399320323853</v>
      </c>
      <c r="AA15">
        <f t="shared" si="1"/>
        <v>89.366748228925701</v>
      </c>
      <c r="AB15">
        <f t="shared" si="1"/>
        <v>88.647966236038158</v>
      </c>
      <c r="AC15">
        <f t="shared" si="1"/>
        <v>88.578725803149155</v>
      </c>
      <c r="AD15">
        <f t="shared" si="1"/>
        <v>89.090593533300733</v>
      </c>
      <c r="AE15">
        <f t="shared" si="1"/>
        <v>90.110420803868195</v>
      </c>
      <c r="AF15">
        <f t="shared" si="1"/>
        <v>91.560779653063037</v>
      </c>
      <c r="AG15">
        <f t="shared" si="1"/>
        <v>93.360468658809069</v>
      </c>
      <c r="AH15">
        <f t="shared" si="1"/>
        <v>95.425105864369428</v>
      </c>
      <c r="AI15">
        <f>AI17*AJ15+AI18</f>
        <v>97.667815175064177</v>
      </c>
      <c r="AJ15">
        <v>100</v>
      </c>
    </row>
    <row r="16" spans="2:36" ht="15" x14ac:dyDescent="0.25">
      <c r="B16" s="8" t="s">
        <v>19</v>
      </c>
      <c r="C16" s="2">
        <f>$C$10/($C$4^2)</f>
        <v>4139999.9999999991</v>
      </c>
      <c r="E16" t="s">
        <v>20</v>
      </c>
      <c r="F16">
        <f>-($C$9*$C$8)/$C$5*F13</f>
        <v>-71760000</v>
      </c>
      <c r="G16">
        <f>-($C$9*$C$8)/$C$5*G13</f>
        <v>-67258714.914569095</v>
      </c>
      <c r="H16">
        <f t="shared" ref="H16:AH16" si="2">-($C$9*$C$8)/$C$5*H13</f>
        <v>-62800106.751991145</v>
      </c>
      <c r="I16">
        <f t="shared" si="2"/>
        <v>-58425542.333427489</v>
      </c>
      <c r="J16">
        <f t="shared" si="2"/>
        <v>-54173890.373099245</v>
      </c>
      <c r="K16">
        <f t="shared" si="2"/>
        <v>-50080544.80538401</v>
      </c>
      <c r="L16">
        <f t="shared" si="2"/>
        <v>-46176707.791721821</v>
      </c>
      <c r="M16">
        <f t="shared" si="2"/>
        <v>-42488943.905816697</v>
      </c>
      <c r="N16">
        <f t="shared" si="2"/>
        <v>-39038988.940199412</v>
      </c>
      <c r="O16">
        <f t="shared" si="2"/>
        <v>-35843778.3333259</v>
      </c>
      <c r="P16">
        <f t="shared" si="2"/>
        <v>-32915650.297287583</v>
      </c>
      <c r="Q16">
        <f t="shared" si="2"/>
        <v>-30262675.513755009</v>
      </c>
      <c r="R16">
        <f t="shared" si="2"/>
        <v>-27889066.848070193</v>
      </c>
      <c r="S16">
        <f t="shared" si="2"/>
        <v>-25795627.215277713</v>
      </c>
      <c r="T16">
        <f t="shared" si="2"/>
        <v>-23980200.165248077</v>
      </c>
      <c r="U16">
        <f t="shared" si="2"/>
        <v>-22438094.943007302</v>
      </c>
      <c r="V16">
        <f t="shared" si="2"/>
        <v>-21162465.053081051</v>
      </c>
      <c r="W16">
        <f t="shared" si="2"/>
        <v>-20144626.304297585</v>
      </c>
      <c r="X16">
        <f t="shared" si="2"/>
        <v>-19374306.723532189</v>
      </c>
      <c r="Y16">
        <f t="shared" si="2"/>
        <v>-18839826.528816294</v>
      </c>
      <c r="Z16">
        <f t="shared" si="2"/>
        <v>-18528211.549417436</v>
      </c>
      <c r="AA16">
        <f t="shared" si="2"/>
        <v>-18425248.108525001</v>
      </c>
      <c r="AB16">
        <f t="shared" si="2"/>
        <v>-18515491.465266295</v>
      </c>
      <c r="AC16">
        <f t="shared" si="2"/>
        <v>-18782243.417125311</v>
      </c>
      <c r="AD16">
        <f t="shared" si="2"/>
        <v>-19207517.47584375</v>
      </c>
      <c r="AE16">
        <f t="shared" si="2"/>
        <v>-19772011.920767881</v>
      </c>
      <c r="AF16">
        <f t="shared" si="2"/>
        <v>-20455111.644890767</v>
      </c>
      <c r="AG16">
        <f t="shared" si="2"/>
        <v>-21234938.555955831</v>
      </c>
      <c r="AH16">
        <f t="shared" si="2"/>
        <v>-22088466.807500821</v>
      </c>
      <c r="AI16">
        <f>-($C$9*$C$8)/$C$5*AI13</f>
        <v>-22991712.760917265</v>
      </c>
      <c r="AJ16">
        <f t="shared" ref="AJ16" si="3">-($C$9*$C$8)/$C$5*AJ13</f>
        <v>-23920000</v>
      </c>
    </row>
    <row r="17" spans="2:36" ht="15" x14ac:dyDescent="0.25">
      <c r="B17" s="9"/>
      <c r="E17" t="s">
        <v>21</v>
      </c>
      <c r="F17">
        <v>0</v>
      </c>
      <c r="G17">
        <f>$C$14/($C$15-$C$16*F17)</f>
        <v>0.48596112311015116</v>
      </c>
      <c r="H17">
        <f t="shared" ref="H17:AJ17" si="4">$C$14/($C$15-$C$16*G17)</f>
        <v>0.63620651749071722</v>
      </c>
      <c r="I17">
        <f t="shared" si="4"/>
        <v>0.70344697303325343</v>
      </c>
      <c r="J17">
        <f t="shared" si="4"/>
        <v>0.73837204063938877</v>
      </c>
      <c r="K17">
        <f t="shared" si="4"/>
        <v>0.75791697114252621</v>
      </c>
      <c r="L17">
        <f t="shared" si="4"/>
        <v>0.76931314098818415</v>
      </c>
      <c r="M17">
        <f t="shared" si="4"/>
        <v>0.77611753667656147</v>
      </c>
      <c r="N17">
        <f t="shared" si="4"/>
        <v>0.78023798190134164</v>
      </c>
      <c r="O17">
        <f t="shared" si="4"/>
        <v>0.78275448109541323</v>
      </c>
      <c r="P17">
        <f t="shared" si="4"/>
        <v>0.78429939484401534</v>
      </c>
      <c r="Q17">
        <f t="shared" si="4"/>
        <v>0.78525086361989171</v>
      </c>
      <c r="R17">
        <f t="shared" si="4"/>
        <v>0.78583799593878545</v>
      </c>
      <c r="S17">
        <f t="shared" si="4"/>
        <v>0.78620074179469635</v>
      </c>
      <c r="T17">
        <f t="shared" si="4"/>
        <v>0.78642502318145446</v>
      </c>
      <c r="U17">
        <f t="shared" si="4"/>
        <v>0.78656375768621156</v>
      </c>
      <c r="V17">
        <f t="shared" si="4"/>
        <v>0.78664959967006132</v>
      </c>
      <c r="W17">
        <f t="shared" si="4"/>
        <v>0.78670272378719874</v>
      </c>
      <c r="X17">
        <f t="shared" si="4"/>
        <v>0.78673560373989671</v>
      </c>
      <c r="Y17">
        <f t="shared" si="4"/>
        <v>0.78675595540875964</v>
      </c>
      <c r="Z17">
        <f t="shared" si="4"/>
        <v>0.78676855298686454</v>
      </c>
      <c r="AA17">
        <f t="shared" si="4"/>
        <v>0.78677635102491461</v>
      </c>
      <c r="AB17">
        <f t="shared" si="4"/>
        <v>0.7867811781728572</v>
      </c>
      <c r="AC17">
        <f t="shared" si="4"/>
        <v>0.78678416630763781</v>
      </c>
      <c r="AD17">
        <f t="shared" si="4"/>
        <v>0.78678601605504095</v>
      </c>
      <c r="AE17">
        <f t="shared" si="4"/>
        <v>0.78678716110997671</v>
      </c>
      <c r="AF17">
        <f t="shared" si="4"/>
        <v>0.78678786993859462</v>
      </c>
      <c r="AG17">
        <f t="shared" si="4"/>
        <v>0.78678830872867067</v>
      </c>
      <c r="AH17">
        <f t="shared" si="4"/>
        <v>0.78678858035554899</v>
      </c>
      <c r="AI17">
        <f t="shared" si="4"/>
        <v>0.78678874850247471</v>
      </c>
      <c r="AJ17">
        <f t="shared" si="4"/>
        <v>0.78678885259157849</v>
      </c>
    </row>
    <row r="18" spans="2:36" ht="15" x14ac:dyDescent="0.25">
      <c r="E18" t="s">
        <v>22</v>
      </c>
      <c r="F18">
        <f>F13</f>
        <v>300</v>
      </c>
      <c r="G18">
        <f>(F18*$C$16-G16)/($C$15-$C$16*F17)</f>
        <v>153.68329360909112</v>
      </c>
      <c r="H18">
        <f>(G18*$C$16-H16)/($C$15-$C$16*G17)</f>
        <v>107.42499834111078</v>
      </c>
      <c r="I18">
        <f t="shared" ref="I18:AJ18" si="5">(H18*$C$16-I16)/($C$15-$C$16*H17)</f>
        <v>85.495150032479302</v>
      </c>
      <c r="J18">
        <f t="shared" si="5"/>
        <v>72.789181530522939</v>
      </c>
      <c r="K18">
        <f t="shared" si="5"/>
        <v>64.336488082597128</v>
      </c>
      <c r="L18">
        <f t="shared" si="5"/>
        <v>58.075666140436184</v>
      </c>
      <c r="M18">
        <f t="shared" si="5"/>
        <v>53.038860453053417</v>
      </c>
      <c r="N18">
        <f t="shared" si="5"/>
        <v>48.740349371263839</v>
      </c>
      <c r="O18">
        <f t="shared" si="5"/>
        <v>44.928750578532473</v>
      </c>
      <c r="P18">
        <f>(O18*$C$16-P16)/($C$15-$C$16*O17)</f>
        <v>41.473274162560507</v>
      </c>
      <c r="Q18">
        <f t="shared" si="5"/>
        <v>38.30697075006443</v>
      </c>
      <c r="R18">
        <f t="shared" si="5"/>
        <v>35.396862593433767</v>
      </c>
      <c r="S18">
        <f t="shared" si="5"/>
        <v>32.727721089928458</v>
      </c>
      <c r="T18">
        <f t="shared" si="5"/>
        <v>30.293123326690587</v>
      </c>
      <c r="U18">
        <f t="shared" si="5"/>
        <v>28.090514527896428</v>
      </c>
      <c r="V18">
        <f t="shared" si="5"/>
        <v>26.11851390693873</v>
      </c>
      <c r="W18">
        <f t="shared" si="5"/>
        <v>24.375484868400246</v>
      </c>
      <c r="X18">
        <f t="shared" si="5"/>
        <v>22.858814678108569</v>
      </c>
      <c r="Y18">
        <f t="shared" si="5"/>
        <v>21.564585325648476</v>
      </c>
      <c r="Z18">
        <f t="shared" si="5"/>
        <v>20.487452131110551</v>
      </c>
      <c r="AA18">
        <f t="shared" si="5"/>
        <v>19.620624827955766</v>
      </c>
      <c r="AB18">
        <f t="shared" si="5"/>
        <v>18.955891987586</v>
      </c>
      <c r="AC18">
        <f t="shared" si="5"/>
        <v>18.483657444198517</v>
      </c>
      <c r="AD18">
        <f t="shared" si="5"/>
        <v>18.192974543981997</v>
      </c>
      <c r="AE18">
        <f t="shared" si="5"/>
        <v>18.071574911618612</v>
      </c>
      <c r="AF18">
        <f t="shared" si="5"/>
        <v>18.105895380529738</v>
      </c>
      <c r="AG18">
        <f t="shared" si="5"/>
        <v>18.281111005527496</v>
      </c>
      <c r="AH18">
        <f t="shared" si="5"/>
        <v>18.581184216352543</v>
      </c>
      <c r="AI18">
        <f t="shared" si="5"/>
        <v>18.988940324816713</v>
      </c>
      <c r="AJ18">
        <f t="shared" si="5"/>
        <v>19.486177718399396</v>
      </c>
    </row>
    <row r="20" spans="2:36" ht="15" x14ac:dyDescent="0.25"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ht="15" x14ac:dyDescent="0.25">
      <c r="B21" s="2" t="s">
        <v>11</v>
      </c>
      <c r="C21" s="3">
        <v>92000</v>
      </c>
      <c r="E21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3">
      <c r="B22" s="2" t="s">
        <v>9</v>
      </c>
      <c r="C22" s="3">
        <v>100</v>
      </c>
      <c r="E22" t="s">
        <v>7</v>
      </c>
      <c r="F22">
        <f>F25/C10*C4+G22</f>
        <v>244.22170195202258</v>
      </c>
      <c r="G22">
        <v>237.55503528535593</v>
      </c>
      <c r="H22">
        <v>232.13643897667549</v>
      </c>
      <c r="I22">
        <v>226.78448919437756</v>
      </c>
      <c r="J22">
        <v>221.49757909955346</v>
      </c>
      <c r="K22">
        <v>216.27402236217617</v>
      </c>
      <c r="L22">
        <v>211.11205522211642</v>
      </c>
      <c r="M22">
        <v>206.0098386447934</v>
      </c>
      <c r="N22">
        <v>200.96546056882565</v>
      </c>
      <c r="O22">
        <v>195.97693824293469</v>
      </c>
      <c r="P22">
        <v>191.04222064924596</v>
      </c>
      <c r="Q22">
        <v>186.15919101002515</v>
      </c>
      <c r="R22">
        <v>181.32566937478603</v>
      </c>
      <c r="S22">
        <v>176.53941528460851</v>
      </c>
      <c r="T22">
        <v>171.79813051041018</v>
      </c>
      <c r="U22">
        <v>167.09946186182469</v>
      </c>
      <c r="V22">
        <v>162.44100406325452</v>
      </c>
      <c r="W22">
        <v>157.82030269358268</v>
      </c>
      <c r="X22">
        <v>153.23485718595032</v>
      </c>
      <c r="Y22">
        <v>148.68212388393457</v>
      </c>
      <c r="Z22">
        <v>144.15951915039079</v>
      </c>
      <c r="AA22">
        <v>139.66442252516001</v>
      </c>
      <c r="AB22">
        <v>135.19417992778176</v>
      </c>
      <c r="AC22">
        <v>130.74610690129862</v>
      </c>
      <c r="AD22">
        <v>126.31749189318714</v>
      </c>
      <c r="AE22">
        <v>121.9055995694056</v>
      </c>
      <c r="AF22">
        <v>117.50767415750811</v>
      </c>
      <c r="AG22">
        <v>113.12094281473883</v>
      </c>
      <c r="AH22">
        <v>108.74261901698999</v>
      </c>
      <c r="AI22">
        <v>104.36990596448156</v>
      </c>
      <c r="AJ22">
        <v>100</v>
      </c>
    </row>
    <row r="24" spans="2:36" x14ac:dyDescent="0.3">
      <c r="E24" t="s">
        <v>12</v>
      </c>
      <c r="G24">
        <f>G27*H24+G28</f>
        <v>238.71049194653068</v>
      </c>
      <c r="H24">
        <f t="shared" ref="H24:AI24" si="35">H27*I24+H28</f>
        <v>233.26604165924005</v>
      </c>
      <c r="I24">
        <f t="shared" si="35"/>
        <v>227.88685730471974</v>
      </c>
      <c r="J24">
        <f t="shared" si="35"/>
        <v>222.57136532990813</v>
      </c>
      <c r="K24">
        <f t="shared" si="35"/>
        <v>217.31791433729478</v>
      </c>
      <c r="L24">
        <f t="shared" si="35"/>
        <v>212.12477710324387</v>
      </c>
      <c r="M24">
        <f t="shared" si="35"/>
        <v>206.99015268899137</v>
      </c>
      <c r="N24">
        <f t="shared" si="35"/>
        <v>201.91216864173703</v>
      </c>
      <c r="O24">
        <f t="shared" si="35"/>
        <v>196.88888328313979</v>
      </c>
      <c r="P24">
        <f t="shared" si="35"/>
        <v>191.91828808242107</v>
      </c>
      <c r="Q24">
        <f t="shared" si="35"/>
        <v>186.9983101111747</v>
      </c>
      <c r="R24">
        <f t="shared" si="35"/>
        <v>182.12681457688365</v>
      </c>
      <c r="S24">
        <f t="shared" si="35"/>
        <v>177.30160743204709</v>
      </c>
      <c r="T24">
        <f t="shared" si="35"/>
        <v>172.52043805572919</v>
      </c>
      <c r="U24">
        <f t="shared" si="35"/>
        <v>167.78100200425195</v>
      </c>
      <c r="V24">
        <f t="shared" si="35"/>
        <v>163.0809438276705</v>
      </c>
      <c r="W24">
        <f t="shared" si="35"/>
        <v>158.41785994858867</v>
      </c>
      <c r="X24">
        <f t="shared" si="35"/>
        <v>153.78930159979606</v>
      </c>
      <c r="Y24">
        <f t="shared" si="35"/>
        <v>149.19277781713677</v>
      </c>
      <c r="Z24">
        <f t="shared" si="35"/>
        <v>144.62575848395136</v>
      </c>
      <c r="AA24">
        <f t="shared" si="35"/>
        <v>140.08567742337166</v>
      </c>
      <c r="AB24">
        <f t="shared" si="35"/>
        <v>135.56993553468863</v>
      </c>
      <c r="AC24">
        <f t="shared" si="35"/>
        <v>131.07590396996019</v>
      </c>
      <c r="AD24">
        <f t="shared" si="35"/>
        <v>126.60092734697665</v>
      </c>
      <c r="AE24">
        <f t="shared" si="35"/>
        <v>122.1423269946565</v>
      </c>
      <c r="AF24">
        <f t="shared" si="35"/>
        <v>117.6974042269064</v>
      </c>
      <c r="AG24">
        <f t="shared" si="35"/>
        <v>113.26344364094373</v>
      </c>
      <c r="AH24">
        <f t="shared" si="35"/>
        <v>108.8377164360507</v>
      </c>
      <c r="AI24">
        <f t="shared" si="35"/>
        <v>104.41748374870339</v>
      </c>
      <c r="AJ24">
        <v>100</v>
      </c>
    </row>
    <row r="25" spans="2:36" x14ac:dyDescent="0.3">
      <c r="E25" t="s">
        <v>13</v>
      </c>
      <c r="F25">
        <v>92000</v>
      </c>
      <c r="G25" s="6">
        <f>-$C$10*(G22-F22)/$C$4</f>
        <v>91999.999999999869</v>
      </c>
      <c r="H25" s="6">
        <f t="shared" ref="H25:AI25" si="36">-$C$10*(H22-G22)/$C$4</f>
        <v>74776.629059789993</v>
      </c>
      <c r="I25" s="6">
        <f t="shared" si="36"/>
        <v>73856.906995711513</v>
      </c>
      <c r="J25" s="6">
        <f t="shared" si="36"/>
        <v>72959.359308572501</v>
      </c>
      <c r="K25" s="6">
        <f t="shared" si="36"/>
        <v>72085.082975806654</v>
      </c>
      <c r="L25" s="6">
        <f t="shared" si="36"/>
        <v>71235.146532824467</v>
      </c>
      <c r="M25" s="6">
        <f t="shared" si="36"/>
        <v>70410.588767057678</v>
      </c>
      <c r="N25" s="6">
        <f t="shared" si="36"/>
        <v>69612.417448355031</v>
      </c>
      <c r="O25" s="6">
        <f t="shared" si="36"/>
        <v>68841.608097295175</v>
      </c>
      <c r="P25" s="6">
        <f t="shared" si="36"/>
        <v>68099.102792904479</v>
      </c>
      <c r="Q25" s="6">
        <f t="shared" si="36"/>
        <v>67385.809021247158</v>
      </c>
      <c r="R25" s="6">
        <f t="shared" si="36"/>
        <v>66702.598566299886</v>
      </c>
      <c r="S25" s="6">
        <f t="shared" si="36"/>
        <v>66050.306444449801</v>
      </c>
      <c r="T25" s="6">
        <f t="shared" si="36"/>
        <v>65429.729883937005</v>
      </c>
      <c r="U25" s="6">
        <f t="shared" si="36"/>
        <v>64841.627350479648</v>
      </c>
      <c r="V25" s="6">
        <f t="shared" si="36"/>
        <v>64286.717620268319</v>
      </c>
      <c r="W25" s="6">
        <f t="shared" si="36"/>
        <v>63765.67890147151</v>
      </c>
      <c r="X25" s="6">
        <f t="shared" si="36"/>
        <v>63279.148005326526</v>
      </c>
      <c r="Y25" s="6">
        <f t="shared" si="36"/>
        <v>62827.719567817381</v>
      </c>
      <c r="Z25" s="6">
        <f t="shared" si="36"/>
        <v>62411.945322904059</v>
      </c>
      <c r="AA25" s="6">
        <f t="shared" si="36"/>
        <v>62032.333428184851</v>
      </c>
      <c r="AB25" s="6">
        <f t="shared" si="36"/>
        <v>61689.347843819785</v>
      </c>
      <c r="AC25" s="6">
        <f t="shared" si="36"/>
        <v>61383.407765467375</v>
      </c>
      <c r="AD25" s="6">
        <f t="shared" si="36"/>
        <v>61114.887111938398</v>
      </c>
      <c r="AE25" s="6">
        <f t="shared" si="36"/>
        <v>60884.114068185299</v>
      </c>
      <c r="AF25" s="6">
        <f t="shared" si="36"/>
        <v>60691.370684185349</v>
      </c>
      <c r="AG25" s="6">
        <f t="shared" si="36"/>
        <v>60536.892530216071</v>
      </c>
      <c r="AH25" s="6">
        <f t="shared" si="36"/>
        <v>60420.868408933908</v>
      </c>
      <c r="AI25" s="6">
        <f t="shared" si="36"/>
        <v>60343.44012461634</v>
      </c>
    </row>
    <row r="26" spans="2:36" x14ac:dyDescent="0.3">
      <c r="E26" t="s">
        <v>20</v>
      </c>
      <c r="F26">
        <f>-($C$9*$C$8)/$C$5*F22</f>
        <v>-58417831.106923804</v>
      </c>
      <c r="G26">
        <f t="shared" ref="G26:AJ26" si="37">-($C$9*$C$8)/$C$5*G22</f>
        <v>-56823164.44025714</v>
      </c>
      <c r="H26">
        <f t="shared" si="37"/>
        <v>-55527036.203220777</v>
      </c>
      <c r="I26">
        <f t="shared" si="37"/>
        <v>-54246849.815295115</v>
      </c>
      <c r="J26">
        <f t="shared" si="37"/>
        <v>-52982220.920613185</v>
      </c>
      <c r="K26">
        <f t="shared" si="37"/>
        <v>-51732746.149032541</v>
      </c>
      <c r="L26">
        <f t="shared" si="37"/>
        <v>-50498003.609130248</v>
      </c>
      <c r="M26">
        <f t="shared" si="37"/>
        <v>-49277553.403834581</v>
      </c>
      <c r="N26">
        <f t="shared" si="37"/>
        <v>-48070938.168063097</v>
      </c>
      <c r="O26">
        <f t="shared" si="37"/>
        <v>-46877683.627709977</v>
      </c>
      <c r="P26">
        <f t="shared" si="37"/>
        <v>-45697299.179299638</v>
      </c>
      <c r="Q26">
        <f t="shared" si="37"/>
        <v>-44529278.489598013</v>
      </c>
      <c r="R26">
        <f t="shared" si="37"/>
        <v>-43373100.114448816</v>
      </c>
      <c r="S26">
        <f t="shared" si="37"/>
        <v>-42228228.136078358</v>
      </c>
      <c r="T26">
        <f t="shared" si="37"/>
        <v>-41094112.818090111</v>
      </c>
      <c r="U26">
        <f t="shared" si="37"/>
        <v>-39970191.277348466</v>
      </c>
      <c r="V26">
        <f t="shared" si="37"/>
        <v>-38855888.171930484</v>
      </c>
      <c r="W26">
        <f t="shared" si="37"/>
        <v>-37750616.404304974</v>
      </c>
      <c r="X26">
        <f t="shared" si="37"/>
        <v>-36653777.838879317</v>
      </c>
      <c r="Y26">
        <f t="shared" si="37"/>
        <v>-35564764.033037148</v>
      </c>
      <c r="Z26">
        <f t="shared" si="37"/>
        <v>-34482956.980773479</v>
      </c>
      <c r="AA26">
        <f t="shared" si="37"/>
        <v>-33407729.868018273</v>
      </c>
      <c r="AB26">
        <f t="shared" si="37"/>
        <v>-32338447.838725396</v>
      </c>
      <c r="AC26">
        <f t="shared" si="37"/>
        <v>-31274468.770790629</v>
      </c>
      <c r="AD26">
        <f t="shared" si="37"/>
        <v>-30215144.060850363</v>
      </c>
      <c r="AE26">
        <f t="shared" si="37"/>
        <v>-29159819.417001817</v>
      </c>
      <c r="AF26">
        <f t="shared" si="37"/>
        <v>-28107835.658475939</v>
      </c>
      <c r="AG26">
        <f t="shared" si="37"/>
        <v>-27058529.521285526</v>
      </c>
      <c r="AH26">
        <f t="shared" si="37"/>
        <v>-26011234.468864005</v>
      </c>
      <c r="AI26">
        <f t="shared" si="37"/>
        <v>-24965281.506703988</v>
      </c>
      <c r="AJ26">
        <f t="shared" si="37"/>
        <v>-23920000</v>
      </c>
    </row>
    <row r="27" spans="2:36" x14ac:dyDescent="0.3">
      <c r="E27" t="s">
        <v>21</v>
      </c>
      <c r="F27">
        <v>0</v>
      </c>
      <c r="G27">
        <f>$C$14/($C$15-$C$16*F27)</f>
        <v>0.48596112311015116</v>
      </c>
      <c r="H27">
        <f t="shared" ref="H27" si="38">$C$14/($C$15-$C$16*G27)</f>
        <v>0.63620651749071722</v>
      </c>
      <c r="I27">
        <f t="shared" ref="I27" si="39">$C$14/($C$15-$C$16*H27)</f>
        <v>0.70344697303325343</v>
      </c>
      <c r="J27">
        <f t="shared" ref="J27" si="40">$C$14/($C$15-$C$16*I27)</f>
        <v>0.73837204063938877</v>
      </c>
      <c r="K27">
        <f t="shared" ref="K27" si="41">$C$14/($C$15-$C$16*J27)</f>
        <v>0.75791697114252621</v>
      </c>
      <c r="L27">
        <f t="shared" ref="L27" si="42">$C$14/($C$15-$C$16*K27)</f>
        <v>0.76931314098818415</v>
      </c>
      <c r="M27">
        <f t="shared" ref="M27" si="43">$C$14/($C$15-$C$16*L27)</f>
        <v>0.77611753667656147</v>
      </c>
      <c r="N27">
        <f t="shared" ref="N27" si="44">$C$14/($C$15-$C$16*M27)</f>
        <v>0.78023798190134164</v>
      </c>
      <c r="O27">
        <f t="shared" ref="O27" si="45">$C$14/($C$15-$C$16*N27)</f>
        <v>0.78275448109541323</v>
      </c>
      <c r="P27">
        <f t="shared" ref="P27" si="46">$C$14/($C$15-$C$16*O27)</f>
        <v>0.78429939484401534</v>
      </c>
      <c r="Q27">
        <f t="shared" ref="Q27" si="47">$C$14/($C$15-$C$16*P27)</f>
        <v>0.78525086361989171</v>
      </c>
      <c r="R27">
        <f t="shared" ref="R27" si="48">$C$14/($C$15-$C$16*Q27)</f>
        <v>0.78583799593878545</v>
      </c>
      <c r="S27">
        <f t="shared" ref="S27" si="49">$C$14/($C$15-$C$16*R27)</f>
        <v>0.78620074179469635</v>
      </c>
      <c r="T27">
        <f t="shared" ref="T27" si="50">$C$14/($C$15-$C$16*S27)</f>
        <v>0.78642502318145446</v>
      </c>
      <c r="U27">
        <f t="shared" ref="U27" si="51">$C$14/($C$15-$C$16*T27)</f>
        <v>0.78656375768621156</v>
      </c>
      <c r="V27">
        <f t="shared" ref="V27" si="52">$C$14/($C$15-$C$16*U27)</f>
        <v>0.78664959967006132</v>
      </c>
      <c r="W27">
        <f t="shared" ref="W27" si="53">$C$14/($C$15-$C$16*V27)</f>
        <v>0.78670272378719874</v>
      </c>
      <c r="X27">
        <f t="shared" ref="X27" si="54">$C$14/($C$15-$C$16*W27)</f>
        <v>0.78673560373989671</v>
      </c>
      <c r="Y27">
        <f t="shared" ref="Y27" si="55">$C$14/($C$15-$C$16*X27)</f>
        <v>0.78675595540875964</v>
      </c>
      <c r="Z27">
        <f t="shared" ref="Z27" si="56">$C$14/($C$15-$C$16*Y27)</f>
        <v>0.78676855298686454</v>
      </c>
      <c r="AA27">
        <f t="shared" ref="AA27" si="57">$C$14/($C$15-$C$16*Z27)</f>
        <v>0.78677635102491461</v>
      </c>
      <c r="AB27">
        <f t="shared" ref="AB27" si="58">$C$14/($C$15-$C$16*AA27)</f>
        <v>0.7867811781728572</v>
      </c>
      <c r="AC27">
        <f t="shared" ref="AC27" si="59">$C$14/($C$15-$C$16*AB27)</f>
        <v>0.78678416630763781</v>
      </c>
      <c r="AD27">
        <f t="shared" ref="AD27" si="60">$C$14/($C$15-$C$16*AC27)</f>
        <v>0.78678601605504095</v>
      </c>
      <c r="AE27">
        <f t="shared" ref="AE27" si="61">$C$14/($C$15-$C$16*AD27)</f>
        <v>0.78678716110997671</v>
      </c>
      <c r="AF27">
        <f t="shared" ref="AF27" si="62">$C$14/($C$15-$C$16*AE27)</f>
        <v>0.78678786993859462</v>
      </c>
      <c r="AG27">
        <f t="shared" ref="AG27" si="63">$C$14/($C$15-$C$16*AF27)</f>
        <v>0.78678830872867067</v>
      </c>
      <c r="AH27">
        <f t="shared" ref="AH27" si="64">$C$14/($C$15-$C$16*AG27)</f>
        <v>0.78678858035554899</v>
      </c>
      <c r="AI27">
        <f t="shared" ref="AI27" si="65">$C$14/($C$15-$C$16*AH27)</f>
        <v>0.78678874850247471</v>
      </c>
      <c r="AJ27">
        <f t="shared" ref="AJ27" si="66">$C$14/($C$15-$C$16*AI27)</f>
        <v>0.78678885259157849</v>
      </c>
    </row>
    <row r="28" spans="2:36" x14ac:dyDescent="0.3">
      <c r="E28" t="s">
        <v>22</v>
      </c>
      <c r="F28">
        <f>F22</f>
        <v>244.22170195202258</v>
      </c>
      <c r="G28">
        <f>(F28*$C$16-G26)/($C$15-$C$16*F27)</f>
        <v>125.3522643583471</v>
      </c>
      <c r="H28">
        <f>(G28*$C$16-H26)/($C$15-$C$16*G27)</f>
        <v>88.28293779150026</v>
      </c>
      <c r="I28">
        <f t="shared" ref="I28" si="67">(H28*$C$16-I26)/($C$15-$C$16*H27)</f>
        <v>71.319704079517464</v>
      </c>
      <c r="J28">
        <f t="shared" ref="J28" si="68">(I28*$C$16-J26)/($C$15-$C$16*I27)</f>
        <v>62.109893453183908</v>
      </c>
      <c r="K28">
        <f t="shared" ref="K28" si="69">(J28*$C$16-K26)/($C$15-$C$16*J27)</f>
        <v>56.544945770920705</v>
      </c>
      <c r="L28">
        <f t="shared" ref="L28" si="70">(K28*$C$16-L26)/($C$15-$C$16*K27)</f>
        <v>52.884532584452067</v>
      </c>
      <c r="M28">
        <f t="shared" ref="M28" si="71">(L28*$C$16-M26)/($C$15-$C$16*L27)</f>
        <v>50.282577737743971</v>
      </c>
      <c r="N28">
        <f t="shared" ref="N28" si="72">(M28*$C$16-N26)/($C$15-$C$16*M27)</f>
        <v>48.291983690091236</v>
      </c>
      <c r="O28">
        <f t="shared" ref="O28" si="73">(N28*$C$16-O26)/($C$15-$C$16*N27)</f>
        <v>46.663983282464244</v>
      </c>
      <c r="P28">
        <f t="shared" ref="P28" si="74">(O28*$C$16-P26)/($C$15-$C$16*O27)</f>
        <v>45.255626625373225</v>
      </c>
      <c r="Q28">
        <f t="shared" ref="Q28" si="75">(P28*$C$16-Q26)/($C$15-$C$16*P27)</f>
        <v>43.983071676336955</v>
      </c>
      <c r="R28">
        <f t="shared" ref="R28" si="76">(Q28*$C$16-R26)/($C$15-$C$16*Q27)</f>
        <v>42.796474715758492</v>
      </c>
      <c r="S28">
        <f t="shared" ref="S28" si="77">(R28*$C$16-S26)/($C$15-$C$16*R27)</f>
        <v>41.665911057886831</v>
      </c>
      <c r="T28">
        <f t="shared" ref="T28" si="78">(S28*$C$16-T26)/($C$15-$C$16*S27)</f>
        <v>40.573259665127686</v>
      </c>
      <c r="U28">
        <f t="shared" ref="U28" si="79">(T28*$C$16-U26)/($C$15-$C$16*T27)</f>
        <v>39.507442020145447</v>
      </c>
      <c r="V28">
        <f t="shared" ref="V28" si="80">(U28*$C$16-V26)/($C$15-$C$16*U27)</f>
        <v>38.461597718525383</v>
      </c>
      <c r="W28">
        <f t="shared" ref="W28" si="81">(V28*$C$16-W26)/($C$15-$C$16*V27)</f>
        <v>37.431397490698103</v>
      </c>
      <c r="X28">
        <f t="shared" ref="X28" si="82">(W28*$C$16-X26)/($C$15-$C$16*W27)</f>
        <v>36.414031470198701</v>
      </c>
      <c r="Y28">
        <f t="shared" ref="Y28" si="83">(X28*$C$16-Y26)/($C$15-$C$16*X27)</f>
        <v>35.40760102437909</v>
      </c>
      <c r="Z28">
        <f t="shared" ref="Z28" si="84">(Y28*$C$16-Z26)/($C$15-$C$16*Y27)</f>
        <v>34.410752763380543</v>
      </c>
      <c r="AA28">
        <f t="shared" ref="AA28" si="85">(Z28*$C$16-AA26)/($C$15-$C$16*Z27)</f>
        <v>33.42245823470644</v>
      </c>
      <c r="AB28">
        <f t="shared" ref="AB28" si="86">(AA28*$C$16-AB26)/($C$15-$C$16*AA27)</f>
        <v>32.441881379131061</v>
      </c>
      <c r="AC28">
        <f t="shared" ref="AC28" si="87">(AB28*$C$16-AC26)/($C$15-$C$16*AB27)</f>
        <v>31.468298893495348</v>
      </c>
      <c r="AD28">
        <f t="shared" ref="AD28" si="88">(AC28*$C$16-AD26)/($C$15-$C$16*AC27)</f>
        <v>30.501052499158781</v>
      </c>
      <c r="AE28">
        <f t="shared" ref="AE28" si="89">(AD28*$C$16-AE26)/($C$15-$C$16*AD27)</f>
        <v>29.539520452955447</v>
      </c>
      <c r="AF28">
        <f t="shared" ref="AF28" si="90">(AE28*$C$16-AF26)/($C$15-$C$16*AE27)</f>
        <v>28.583100662738218</v>
      </c>
      <c r="AG28">
        <f t="shared" ref="AG28" si="91">(AF28*$C$16-AG26)/($C$15-$C$16*AF27)</f>
        <v>27.631200800332763</v>
      </c>
      <c r="AH28">
        <f t="shared" ref="AH28" si="92">(AG28*$C$16-AH26)/($C$15-$C$16*AG27)</f>
        <v>26.683232633109746</v>
      </c>
      <c r="AI28">
        <f t="shared" ref="AI28" si="93">(AH28*$C$16-AI26)/($C$15-$C$16*AH27)</f>
        <v>25.738608898455922</v>
      </c>
      <c r="AJ28">
        <f t="shared" ref="AJ28" si="94">(AI28*$C$16-AJ26)/($C$15-$C$16*AI27)</f>
        <v>24.796741710826428</v>
      </c>
    </row>
    <row r="33" spans="2:36" x14ac:dyDescent="0.3"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3">
      <c r="B34" s="2" t="s">
        <v>11</v>
      </c>
      <c r="C34" s="3">
        <v>92000</v>
      </c>
      <c r="E34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3">
      <c r="B35" s="2" t="s">
        <v>9</v>
      </c>
      <c r="C35" s="3">
        <v>100</v>
      </c>
      <c r="E35" t="s">
        <v>7</v>
      </c>
      <c r="F35">
        <f>($C$37*$C$4*$C$36+$C$10*$G$35)/($C$10+$C$37*$C$4)</f>
        <v>299.99985163261891</v>
      </c>
      <c r="G35">
        <v>293.3331742146928</v>
      </c>
      <c r="H35">
        <v>286.66649776466045</v>
      </c>
      <c r="I35">
        <v>279.99982234203355</v>
      </c>
      <c r="J35">
        <v>273.33314800007156</v>
      </c>
      <c r="K35">
        <v>266.66647478546452</v>
      </c>
      <c r="L35">
        <v>259.99980273803936</v>
      </c>
      <c r="M35">
        <v>253.33313189053024</v>
      </c>
      <c r="N35">
        <v>246.66646226836411</v>
      </c>
      <c r="O35">
        <v>239.99979388952389</v>
      </c>
      <c r="P35">
        <v>233.33312676441892</v>
      </c>
      <c r="Q35">
        <v>226.66646089584373</v>
      </c>
      <c r="R35">
        <v>219.9997962789374</v>
      </c>
      <c r="S35">
        <v>213.33313290123812</v>
      </c>
      <c r="T35">
        <v>206.66647074273277</v>
      </c>
      <c r="U35">
        <v>199.99980977600597</v>
      </c>
      <c r="V35">
        <v>193.33314996637864</v>
      </c>
      <c r="W35">
        <v>186.66649127214777</v>
      </c>
      <c r="X35">
        <v>179.99983364481102</v>
      </c>
      <c r="Y35">
        <v>173.33317702939058</v>
      </c>
      <c r="Z35">
        <v>166.66652136473954</v>
      </c>
      <c r="AA35">
        <v>159.99986658394076</v>
      </c>
      <c r="AB35">
        <v>153.33321261468828</v>
      </c>
      <c r="AC35">
        <v>146.66655937975133</v>
      </c>
      <c r="AD35">
        <v>139.99990679742166</v>
      </c>
      <c r="AE35">
        <v>133.33325478203096</v>
      </c>
      <c r="AF35">
        <v>126.66660324445392</v>
      </c>
      <c r="AG35">
        <v>119.99995209266579</v>
      </c>
      <c r="AH35">
        <v>113.33330123228947</v>
      </c>
      <c r="AI35">
        <v>106.66665056717957</v>
      </c>
      <c r="AJ35">
        <v>100</v>
      </c>
    </row>
    <row r="36" spans="2:36" x14ac:dyDescent="0.3">
      <c r="B36" t="s">
        <v>14</v>
      </c>
      <c r="C36">
        <v>392</v>
      </c>
    </row>
    <row r="37" spans="2:36" x14ac:dyDescent="0.3">
      <c r="B37" t="s">
        <v>15</v>
      </c>
      <c r="C37">
        <v>1000</v>
      </c>
      <c r="E37" t="s">
        <v>12</v>
      </c>
      <c r="G37">
        <f>G35+(($C$10*$C$5)/($C$9*$C$8))*((H35-2*G35+F35)/($C$4^2))</f>
        <v>293.3331909667001</v>
      </c>
      <c r="H37">
        <f t="shared" ref="H37:AI37" si="124">H35+(($C$10*$C$5)/($C$9*$C$8))*((I35-2*H35+G35)/($C$4^2))</f>
        <v>286.66651554667806</v>
      </c>
      <c r="I37">
        <f t="shared" si="124"/>
        <v>279.99984104584917</v>
      </c>
      <c r="J37">
        <f t="shared" si="124"/>
        <v>273.33316751198413</v>
      </c>
      <c r="K37">
        <f t="shared" si="124"/>
        <v>266.6664949866896</v>
      </c>
      <c r="L37">
        <f t="shared" si="124"/>
        <v>259.99982350581678</v>
      </c>
      <c r="M37">
        <f t="shared" si="124"/>
        <v>253.33315309838983</v>
      </c>
      <c r="N37">
        <f t="shared" si="124"/>
        <v>246.66648378746618</v>
      </c>
      <c r="O37">
        <f t="shared" si="124"/>
        <v>239.99981558878807</v>
      </c>
      <c r="P37">
        <f t="shared" si="124"/>
        <v>233.33314851204958</v>
      </c>
      <c r="Q37">
        <f t="shared" si="124"/>
        <v>226.66648255934328</v>
      </c>
      <c r="R37">
        <f t="shared" si="124"/>
        <v>219.99981772675176</v>
      </c>
      <c r="S37">
        <f t="shared" si="124"/>
        <v>213.33315400267159</v>
      </c>
      <c r="T37">
        <f t="shared" si="124"/>
        <v>206.66649136966925</v>
      </c>
      <c r="U37">
        <f t="shared" si="124"/>
        <v>199.99982980272742</v>
      </c>
      <c r="V37">
        <f t="shared" si="124"/>
        <v>193.33316927131733</v>
      </c>
      <c r="W37">
        <f t="shared" si="124"/>
        <v>186.66650973762307</v>
      </c>
      <c r="X37">
        <f t="shared" si="124"/>
        <v>179.99985115874716</v>
      </c>
      <c r="Y37">
        <f t="shared" si="124"/>
        <v>173.33319348501465</v>
      </c>
      <c r="Z37">
        <f t="shared" si="124"/>
        <v>166.66653666218261</v>
      </c>
      <c r="AA37">
        <f t="shared" si="124"/>
        <v>159.99988062993441</v>
      </c>
      <c r="AB37">
        <f t="shared" si="124"/>
        <v>153.33322532399561</v>
      </c>
      <c r="AC37">
        <f t="shared" si="124"/>
        <v>146.66657067487716</v>
      </c>
      <c r="AD37">
        <f t="shared" si="124"/>
        <v>139.99991660982707</v>
      </c>
      <c r="AE37">
        <f t="shared" si="124"/>
        <v>133.33326305188297</v>
      </c>
      <c r="AF37">
        <f t="shared" si="124"/>
        <v>126.6666099215694</v>
      </c>
      <c r="AG37">
        <f t="shared" si="124"/>
        <v>119.99995713633172</v>
      </c>
      <c r="AH37">
        <f t="shared" si="124"/>
        <v>113.33330461190064</v>
      </c>
      <c r="AI37">
        <f t="shared" si="124"/>
        <v>106.66665226212751</v>
      </c>
    </row>
    <row r="38" spans="2:36" x14ac:dyDescent="0.3">
      <c r="E38" t="s">
        <v>13</v>
      </c>
      <c r="F38">
        <v>92000</v>
      </c>
      <c r="G38" s="7">
        <f>-$C$10*(G35-F35)/$C$4</f>
        <v>92000.148367380301</v>
      </c>
      <c r="H38" s="7">
        <f t="shared" ref="H38:AI38" si="125">-$C$10*(H35-G35)/$C$4</f>
        <v>92000.135010446495</v>
      </c>
      <c r="I38" s="7">
        <f t="shared" si="125"/>
        <v>92000.120832251137</v>
      </c>
      <c r="J38" s="7">
        <f t="shared" si="125"/>
        <v>92000.105919075504</v>
      </c>
      <c r="K38" s="7">
        <f t="shared" si="125"/>
        <v>92000.090361577211</v>
      </c>
      <c r="L38" s="7">
        <f t="shared" si="125"/>
        <v>92000.074254467094</v>
      </c>
      <c r="M38" s="7">
        <f t="shared" si="125"/>
        <v>92000.057695625903</v>
      </c>
      <c r="N38" s="7">
        <f t="shared" si="125"/>
        <v>92000.040785892532</v>
      </c>
      <c r="O38" s="7">
        <f t="shared" si="125"/>
        <v>92000.023627995135</v>
      </c>
      <c r="P38" s="7">
        <f t="shared" si="125"/>
        <v>92000.006326448507</v>
      </c>
      <c r="Q38" s="7">
        <f t="shared" si="125"/>
        <v>91999.988986337674</v>
      </c>
      <c r="R38" s="7">
        <f t="shared" si="125"/>
        <v>91999.971713307372</v>
      </c>
      <c r="S38" s="7">
        <f t="shared" si="125"/>
        <v>91999.954612250047</v>
      </c>
      <c r="T38" s="7">
        <f t="shared" si="125"/>
        <v>91999.937787373769</v>
      </c>
      <c r="U38" s="7">
        <f t="shared" si="125"/>
        <v>91999.921340829766</v>
      </c>
      <c r="V38" s="7">
        <f t="shared" si="125"/>
        <v>91999.905372857189</v>
      </c>
      <c r="W38" s="7">
        <f t="shared" si="125"/>
        <v>91999.88998038607</v>
      </c>
      <c r="X38" s="7">
        <f t="shared" si="125"/>
        <v>91999.875257247098</v>
      </c>
      <c r="Y38" s="7">
        <f t="shared" si="125"/>
        <v>91999.861292802016</v>
      </c>
      <c r="Z38" s="7">
        <f t="shared" si="125"/>
        <v>91999.848172184429</v>
      </c>
      <c r="AA38" s="7">
        <f t="shared" si="125"/>
        <v>91999.835975023161</v>
      </c>
      <c r="AB38" s="7">
        <f t="shared" si="125"/>
        <v>91999.824775684203</v>
      </c>
      <c r="AC38" s="7">
        <f t="shared" si="125"/>
        <v>91999.81464212983</v>
      </c>
      <c r="AD38" s="7">
        <f t="shared" si="125"/>
        <v>91999.805636149511</v>
      </c>
      <c r="AE38" s="7">
        <f t="shared" si="125"/>
        <v>91999.797812391596</v>
      </c>
      <c r="AF38" s="7">
        <f t="shared" si="125"/>
        <v>91999.791218563143</v>
      </c>
      <c r="AG38" s="7">
        <f t="shared" si="125"/>
        <v>91999.785894676199</v>
      </c>
      <c r="AH38" s="7">
        <f t="shared" si="125"/>
        <v>91999.781873193249</v>
      </c>
      <c r="AI38" s="7">
        <f t="shared" si="125"/>
        <v>91999.77917851659</v>
      </c>
    </row>
  </sheetData>
  <conditionalFormatting sqref="F35:AJ3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max"/>
        <color rgb="FFFF7128"/>
        <color rgb="FF7030A0"/>
      </colorScale>
    </cfRule>
  </conditionalFormatting>
  <conditionalFormatting sqref="F22:AJ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rgb="FFFF7128"/>
        <color rgb="FF7030A0"/>
      </colorScale>
    </cfRule>
  </conditionalFormatting>
  <conditionalFormatting sqref="F13:AJ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7128"/>
        <color rgb="FF7030A0"/>
      </colorScale>
    </cfRule>
  </conditionalFormatting>
  <conditionalFormatting sqref="AN20:BR2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J35"/>
  <sheetViews>
    <sheetView tabSelected="1" zoomScale="50" zoomScaleNormal="50" workbookViewId="0">
      <selection activeCell="X50" sqref="X50"/>
    </sheetView>
  </sheetViews>
  <sheetFormatPr defaultRowHeight="14.4" x14ac:dyDescent="0.3"/>
  <sheetData>
    <row r="2" spans="1:36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</row>
    <row r="3" spans="1:36" x14ac:dyDescent="0.25">
      <c r="A3" s="10"/>
      <c r="B3" s="11" t="s">
        <v>0</v>
      </c>
      <c r="C3" s="11">
        <v>0.1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</row>
    <row r="4" spans="1:36" x14ac:dyDescent="0.25">
      <c r="A4" s="10"/>
      <c r="B4" s="11" t="s">
        <v>1</v>
      </c>
      <c r="C4" s="11">
        <f>C3/30</f>
        <v>3.3333333333333335E-3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</row>
    <row r="5" spans="1:36" x14ac:dyDescent="0.25">
      <c r="A5" s="10"/>
      <c r="B5" s="11" t="s">
        <v>2</v>
      </c>
      <c r="C5" s="11">
        <f>(C9*C8*(C4^2))/(2*C10)</f>
        <v>0.4333333333333334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</row>
    <row r="6" spans="1:36" x14ac:dyDescent="0.25">
      <c r="A6" s="10"/>
      <c r="B6" s="11" t="s">
        <v>3</v>
      </c>
      <c r="C6" s="11">
        <v>5000</v>
      </c>
      <c r="D6" s="10">
        <v>231.40000000000003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</row>
    <row r="7" spans="1:36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 t="s">
        <v>16</v>
      </c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</row>
    <row r="8" spans="1:36" x14ac:dyDescent="0.25">
      <c r="A8" s="10"/>
      <c r="B8" s="11" t="s">
        <v>4</v>
      </c>
      <c r="C8" s="11">
        <v>460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</row>
    <row r="9" spans="1:36" x14ac:dyDescent="0.25">
      <c r="A9" s="10"/>
      <c r="B9" s="11" t="s">
        <v>5</v>
      </c>
      <c r="C9" s="11">
        <v>7800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</row>
    <row r="10" spans="1:36" x14ac:dyDescent="0.25">
      <c r="A10" s="10"/>
      <c r="B10" s="11" t="s">
        <v>6</v>
      </c>
      <c r="C10" s="11">
        <v>46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x14ac:dyDescent="0.25">
      <c r="A11" s="10"/>
      <c r="B11" s="10"/>
      <c r="C11" s="10"/>
      <c r="D11" s="10"/>
      <c r="E11" s="10"/>
      <c r="F11" s="11">
        <v>1</v>
      </c>
      <c r="G11" s="11">
        <v>2</v>
      </c>
      <c r="H11" s="11">
        <v>3</v>
      </c>
      <c r="I11" s="11">
        <v>4</v>
      </c>
      <c r="J11" s="11">
        <v>5</v>
      </c>
      <c r="K11" s="11">
        <v>6</v>
      </c>
      <c r="L11" s="11">
        <v>7</v>
      </c>
      <c r="M11" s="11">
        <v>8</v>
      </c>
      <c r="N11" s="11">
        <v>9</v>
      </c>
      <c r="O11" s="11">
        <v>10</v>
      </c>
      <c r="P11" s="11">
        <v>11</v>
      </c>
      <c r="Q11" s="11">
        <v>12</v>
      </c>
      <c r="R11" s="11">
        <v>13</v>
      </c>
      <c r="S11" s="11">
        <v>14</v>
      </c>
      <c r="T11" s="11">
        <v>15</v>
      </c>
      <c r="U11" s="11">
        <v>16</v>
      </c>
      <c r="V11" s="11">
        <v>17</v>
      </c>
      <c r="W11" s="11">
        <v>18</v>
      </c>
      <c r="X11" s="11">
        <v>19</v>
      </c>
      <c r="Y11" s="11">
        <v>20</v>
      </c>
      <c r="Z11" s="11">
        <v>21</v>
      </c>
      <c r="AA11" s="11">
        <v>22</v>
      </c>
      <c r="AB11" s="11">
        <v>23</v>
      </c>
      <c r="AC11" s="11">
        <v>24</v>
      </c>
      <c r="AD11" s="11">
        <v>25</v>
      </c>
      <c r="AE11" s="11">
        <v>26</v>
      </c>
      <c r="AF11" s="11">
        <v>27</v>
      </c>
      <c r="AG11" s="11">
        <v>28</v>
      </c>
      <c r="AH11" s="11">
        <v>29</v>
      </c>
      <c r="AI11" s="11">
        <v>30</v>
      </c>
      <c r="AJ11" s="11">
        <v>31</v>
      </c>
    </row>
    <row r="12" spans="1:36" x14ac:dyDescent="0.25">
      <c r="A12" s="10"/>
      <c r="B12" s="11" t="s">
        <v>8</v>
      </c>
      <c r="C12" s="11">
        <v>300</v>
      </c>
      <c r="D12" s="10"/>
      <c r="E12" s="10" t="s">
        <v>0</v>
      </c>
      <c r="F12" s="11">
        <v>0</v>
      </c>
      <c r="G12" s="11">
        <f>F12+$C$4</f>
        <v>3.3333333333333335E-3</v>
      </c>
      <c r="H12" s="11">
        <f t="shared" ref="H12:AJ12" si="0">G12+$C$4</f>
        <v>6.6666666666666671E-3</v>
      </c>
      <c r="I12" s="11">
        <f t="shared" si="0"/>
        <v>0.01</v>
      </c>
      <c r="J12" s="11">
        <f t="shared" si="0"/>
        <v>1.3333333333333334E-2</v>
      </c>
      <c r="K12" s="11">
        <f t="shared" si="0"/>
        <v>1.6666666666666666E-2</v>
      </c>
      <c r="L12" s="11">
        <f t="shared" si="0"/>
        <v>0.02</v>
      </c>
      <c r="M12" s="11">
        <f t="shared" si="0"/>
        <v>2.3333333333333334E-2</v>
      </c>
      <c r="N12" s="11">
        <f t="shared" si="0"/>
        <v>2.6666666666666668E-2</v>
      </c>
      <c r="O12" s="11">
        <f t="shared" si="0"/>
        <v>3.0000000000000002E-2</v>
      </c>
      <c r="P12" s="11">
        <f t="shared" si="0"/>
        <v>3.3333333333333333E-2</v>
      </c>
      <c r="Q12" s="11">
        <f t="shared" si="0"/>
        <v>3.6666666666666667E-2</v>
      </c>
      <c r="R12" s="11">
        <f t="shared" si="0"/>
        <v>0.04</v>
      </c>
      <c r="S12" s="11">
        <f t="shared" si="0"/>
        <v>4.3333333333333335E-2</v>
      </c>
      <c r="T12" s="11">
        <f t="shared" si="0"/>
        <v>4.6666666666666669E-2</v>
      </c>
      <c r="U12" s="11">
        <f t="shared" si="0"/>
        <v>0.05</v>
      </c>
      <c r="V12" s="11">
        <f t="shared" si="0"/>
        <v>5.3333333333333337E-2</v>
      </c>
      <c r="W12" s="11">
        <f t="shared" si="0"/>
        <v>5.6666666666666671E-2</v>
      </c>
      <c r="X12" s="11">
        <f t="shared" si="0"/>
        <v>6.0000000000000005E-2</v>
      </c>
      <c r="Y12" s="11">
        <f t="shared" si="0"/>
        <v>6.3333333333333339E-2</v>
      </c>
      <c r="Z12" s="11">
        <f t="shared" si="0"/>
        <v>6.6666666666666666E-2</v>
      </c>
      <c r="AA12" s="11">
        <f t="shared" si="0"/>
        <v>6.9999999999999993E-2</v>
      </c>
      <c r="AB12" s="11">
        <f t="shared" si="0"/>
        <v>7.333333333333332E-2</v>
      </c>
      <c r="AC12" s="11">
        <f t="shared" si="0"/>
        <v>7.6666666666666647E-2</v>
      </c>
      <c r="AD12" s="11">
        <f t="shared" si="0"/>
        <v>7.9999999999999974E-2</v>
      </c>
      <c r="AE12" s="11">
        <f t="shared" si="0"/>
        <v>8.3333333333333301E-2</v>
      </c>
      <c r="AF12" s="11">
        <f t="shared" si="0"/>
        <v>8.6666666666666628E-2</v>
      </c>
      <c r="AG12" s="11">
        <f t="shared" si="0"/>
        <v>8.9999999999999955E-2</v>
      </c>
      <c r="AH12" s="11">
        <f t="shared" si="0"/>
        <v>9.3333333333333282E-2</v>
      </c>
      <c r="AI12" s="11">
        <f t="shared" si="0"/>
        <v>9.6666666666666609E-2</v>
      </c>
      <c r="AJ12" s="11">
        <f t="shared" si="0"/>
        <v>9.9999999999999936E-2</v>
      </c>
    </row>
    <row r="13" spans="1:36" x14ac:dyDescent="0.25">
      <c r="A13" s="10"/>
      <c r="B13" s="11" t="s">
        <v>9</v>
      </c>
      <c r="C13" s="11">
        <v>100</v>
      </c>
      <c r="D13" s="10"/>
      <c r="E13" s="10" t="s">
        <v>7</v>
      </c>
      <c r="F13" s="10">
        <v>300</v>
      </c>
      <c r="G13" s="10">
        <v>293.25780786115405</v>
      </c>
      <c r="H13" s="10">
        <v>286.5156157223081</v>
      </c>
      <c r="I13" s="10">
        <v>279.7767244091051</v>
      </c>
      <c r="J13" s="10">
        <v>273.0378330959021</v>
      </c>
      <c r="K13" s="10">
        <v>266.30539917204851</v>
      </c>
      <c r="L13" s="10">
        <v>259.57296524819492</v>
      </c>
      <c r="M13" s="10">
        <v>252.84986305846581</v>
      </c>
      <c r="N13" s="10">
        <v>246.12676086873671</v>
      </c>
      <c r="O13" s="10">
        <v>239.41545691630802</v>
      </c>
      <c r="P13" s="10">
        <v>232.70415296387932</v>
      </c>
      <c r="Q13" s="10">
        <v>226.00659811230153</v>
      </c>
      <c r="R13" s="10">
        <v>219.30904326072374</v>
      </c>
      <c r="S13" s="10">
        <v>212.62658747182891</v>
      </c>
      <c r="T13" s="10">
        <v>205.94413168293408</v>
      </c>
      <c r="U13" s="10">
        <v>199.27746501703731</v>
      </c>
      <c r="V13" s="10">
        <v>192.61079835114055</v>
      </c>
      <c r="W13" s="10">
        <v>185.95992080810871</v>
      </c>
      <c r="X13" s="10">
        <v>179.30904326507687</v>
      </c>
      <c r="Y13" s="10">
        <v>172.6732647843516</v>
      </c>
      <c r="Z13" s="10">
        <v>166.03748630362634</v>
      </c>
      <c r="AA13" s="10">
        <v>159.4154569231975</v>
      </c>
      <c r="AB13" s="10">
        <v>152.79342754276868</v>
      </c>
      <c r="AC13" s="10">
        <v>146.18319639900352</v>
      </c>
      <c r="AD13" s="10">
        <v>139.57296525523833</v>
      </c>
      <c r="AE13" s="10">
        <v>132.97206584498872</v>
      </c>
      <c r="AF13" s="10">
        <v>126.37116643473912</v>
      </c>
      <c r="AG13" s="10">
        <v>119.77672441336307</v>
      </c>
      <c r="AH13" s="10">
        <v>113.18228239198703</v>
      </c>
      <c r="AI13" s="10">
        <v>106.59114119599352</v>
      </c>
      <c r="AJ13" s="10">
        <v>100</v>
      </c>
    </row>
    <row r="14" spans="1:36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x14ac:dyDescent="0.25">
      <c r="A15" s="10"/>
      <c r="B15" s="10"/>
      <c r="C15" s="10"/>
      <c r="D15" s="10"/>
      <c r="E15" s="10" t="s">
        <v>10</v>
      </c>
      <c r="F15" s="10"/>
      <c r="G15" s="10">
        <f>G13+(($C$10*$C$5)/($C$9*$C$8))*((H13-2*G13+F13)/($C$4^2))</f>
        <v>293.25780786115405</v>
      </c>
      <c r="H15" s="10">
        <f t="shared" ref="H15:AI15" si="1">H13+(($C$10*$C$5)/($C$9*$C$8))*((I13-2*H13+G13)/($C$4^2))</f>
        <v>286.5172661351296</v>
      </c>
      <c r="I15" s="10">
        <f t="shared" si="1"/>
        <v>279.7767244091051</v>
      </c>
      <c r="J15" s="10">
        <f t="shared" si="1"/>
        <v>273.0410617905768</v>
      </c>
      <c r="K15" s="10">
        <f t="shared" si="1"/>
        <v>266.30539917204851</v>
      </c>
      <c r="L15" s="10">
        <f t="shared" si="1"/>
        <v>259.57763111525719</v>
      </c>
      <c r="M15" s="10">
        <f t="shared" si="1"/>
        <v>252.84986305846581</v>
      </c>
      <c r="N15" s="10">
        <f t="shared" si="1"/>
        <v>246.13265998738692</v>
      </c>
      <c r="O15" s="10">
        <f t="shared" si="1"/>
        <v>239.41545691630802</v>
      </c>
      <c r="P15" s="10">
        <f t="shared" si="1"/>
        <v>232.71102751430476</v>
      </c>
      <c r="Q15" s="10">
        <f t="shared" si="1"/>
        <v>226.00659811230153</v>
      </c>
      <c r="R15" s="10">
        <f t="shared" si="1"/>
        <v>219.31659279206522</v>
      </c>
      <c r="S15" s="10">
        <f t="shared" si="1"/>
        <v>212.62658747182891</v>
      </c>
      <c r="T15" s="10">
        <f t="shared" si="1"/>
        <v>205.95202624443311</v>
      </c>
      <c r="U15" s="10">
        <f t="shared" si="1"/>
        <v>199.27746501703731</v>
      </c>
      <c r="V15" s="10">
        <f t="shared" si="1"/>
        <v>192.61869291257301</v>
      </c>
      <c r="W15" s="10">
        <f t="shared" si="1"/>
        <v>185.95992080810871</v>
      </c>
      <c r="X15" s="10">
        <f t="shared" si="1"/>
        <v>179.31659279623017</v>
      </c>
      <c r="Y15" s="10">
        <f t="shared" si="1"/>
        <v>172.6732647843516</v>
      </c>
      <c r="Z15" s="10">
        <f t="shared" si="1"/>
        <v>166.04436085377455</v>
      </c>
      <c r="AA15" s="10">
        <f t="shared" si="1"/>
        <v>159.4154569231975</v>
      </c>
      <c r="AB15" s="10">
        <f t="shared" si="1"/>
        <v>152.79932666110051</v>
      </c>
      <c r="AC15" s="10">
        <f t="shared" si="1"/>
        <v>146.18319639900352</v>
      </c>
      <c r="AD15" s="10">
        <f t="shared" si="1"/>
        <v>139.57763112199612</v>
      </c>
      <c r="AE15" s="10">
        <f t="shared" si="1"/>
        <v>132.97206584498872</v>
      </c>
      <c r="AF15" s="10">
        <f t="shared" si="1"/>
        <v>126.37439512917589</v>
      </c>
      <c r="AG15" s="10">
        <f t="shared" si="1"/>
        <v>119.77672441336307</v>
      </c>
      <c r="AH15" s="10">
        <f t="shared" si="1"/>
        <v>113.18393280467829</v>
      </c>
      <c r="AI15" s="10">
        <f t="shared" si="1"/>
        <v>106.59114119599352</v>
      </c>
      <c r="AJ15" s="10"/>
    </row>
    <row r="16" spans="1:36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x14ac:dyDescent="0.25">
      <c r="A20" s="10"/>
      <c r="B20" s="10"/>
      <c r="C20" s="10"/>
      <c r="D20" s="10"/>
      <c r="E20" s="10"/>
      <c r="F20" s="11">
        <v>1</v>
      </c>
      <c r="G20" s="11">
        <v>2</v>
      </c>
      <c r="H20" s="11">
        <v>3</v>
      </c>
      <c r="I20" s="11">
        <v>4</v>
      </c>
      <c r="J20" s="11">
        <v>5</v>
      </c>
      <c r="K20" s="11">
        <v>6</v>
      </c>
      <c r="L20" s="11">
        <v>7</v>
      </c>
      <c r="M20" s="11">
        <v>8</v>
      </c>
      <c r="N20" s="11">
        <v>9</v>
      </c>
      <c r="O20" s="11">
        <v>10</v>
      </c>
      <c r="P20" s="11">
        <v>11</v>
      </c>
      <c r="Q20" s="11">
        <v>12</v>
      </c>
      <c r="R20" s="11">
        <v>13</v>
      </c>
      <c r="S20" s="11">
        <v>14</v>
      </c>
      <c r="T20" s="11">
        <v>15</v>
      </c>
      <c r="U20" s="11">
        <v>16</v>
      </c>
      <c r="V20" s="11">
        <v>17</v>
      </c>
      <c r="W20" s="11">
        <v>18</v>
      </c>
      <c r="X20" s="11">
        <v>19</v>
      </c>
      <c r="Y20" s="11">
        <v>20</v>
      </c>
      <c r="Z20" s="11">
        <v>21</v>
      </c>
      <c r="AA20" s="11">
        <v>22</v>
      </c>
      <c r="AB20" s="11">
        <v>23</v>
      </c>
      <c r="AC20" s="11">
        <v>24</v>
      </c>
      <c r="AD20" s="11">
        <v>25</v>
      </c>
      <c r="AE20" s="11">
        <v>26</v>
      </c>
      <c r="AF20" s="11">
        <v>27</v>
      </c>
      <c r="AG20" s="11">
        <v>28</v>
      </c>
      <c r="AH20" s="11">
        <v>29</v>
      </c>
      <c r="AI20" s="11">
        <v>30</v>
      </c>
      <c r="AJ20" s="11">
        <v>31</v>
      </c>
    </row>
    <row r="21" spans="1:36" x14ac:dyDescent="0.25">
      <c r="A21" s="10"/>
      <c r="B21" s="11" t="s">
        <v>11</v>
      </c>
      <c r="C21" s="11">
        <v>92000</v>
      </c>
      <c r="D21" s="10"/>
      <c r="E21" s="10" t="s">
        <v>0</v>
      </c>
      <c r="F21" s="11">
        <v>0</v>
      </c>
      <c r="G21" s="11">
        <f>F21+$C$4</f>
        <v>3.3333333333333335E-3</v>
      </c>
      <c r="H21" s="11">
        <f t="shared" ref="H21:AJ21" si="2">G21+$C$4</f>
        <v>6.6666666666666671E-3</v>
      </c>
      <c r="I21" s="11">
        <f t="shared" si="2"/>
        <v>0.01</v>
      </c>
      <c r="J21" s="11">
        <f t="shared" si="2"/>
        <v>1.3333333333333334E-2</v>
      </c>
      <c r="K21" s="11">
        <f t="shared" si="2"/>
        <v>1.6666666666666666E-2</v>
      </c>
      <c r="L21" s="11">
        <f t="shared" si="2"/>
        <v>0.02</v>
      </c>
      <c r="M21" s="11">
        <f t="shared" si="2"/>
        <v>2.3333333333333334E-2</v>
      </c>
      <c r="N21" s="11">
        <f t="shared" si="2"/>
        <v>2.6666666666666668E-2</v>
      </c>
      <c r="O21" s="11">
        <f t="shared" si="2"/>
        <v>3.0000000000000002E-2</v>
      </c>
      <c r="P21" s="11">
        <f t="shared" si="2"/>
        <v>3.3333333333333333E-2</v>
      </c>
      <c r="Q21" s="11">
        <f t="shared" si="2"/>
        <v>3.6666666666666667E-2</v>
      </c>
      <c r="R21" s="11">
        <f t="shared" si="2"/>
        <v>0.04</v>
      </c>
      <c r="S21" s="11">
        <f t="shared" si="2"/>
        <v>4.3333333333333335E-2</v>
      </c>
      <c r="T21" s="11">
        <f t="shared" si="2"/>
        <v>4.6666666666666669E-2</v>
      </c>
      <c r="U21" s="11">
        <f t="shared" si="2"/>
        <v>0.05</v>
      </c>
      <c r="V21" s="11">
        <f t="shared" si="2"/>
        <v>5.3333333333333337E-2</v>
      </c>
      <c r="W21" s="11">
        <f t="shared" si="2"/>
        <v>5.6666666666666671E-2</v>
      </c>
      <c r="X21" s="11">
        <f t="shared" si="2"/>
        <v>6.0000000000000005E-2</v>
      </c>
      <c r="Y21" s="11">
        <f t="shared" si="2"/>
        <v>6.3333333333333339E-2</v>
      </c>
      <c r="Z21" s="11">
        <f t="shared" si="2"/>
        <v>6.6666666666666666E-2</v>
      </c>
      <c r="AA21" s="11">
        <f t="shared" si="2"/>
        <v>6.9999999999999993E-2</v>
      </c>
      <c r="AB21" s="11">
        <f t="shared" si="2"/>
        <v>7.333333333333332E-2</v>
      </c>
      <c r="AC21" s="11">
        <f t="shared" si="2"/>
        <v>7.6666666666666647E-2</v>
      </c>
      <c r="AD21" s="11">
        <f t="shared" si="2"/>
        <v>7.9999999999999974E-2</v>
      </c>
      <c r="AE21" s="11">
        <f t="shared" si="2"/>
        <v>8.3333333333333301E-2</v>
      </c>
      <c r="AF21" s="11">
        <f t="shared" si="2"/>
        <v>8.6666666666666628E-2</v>
      </c>
      <c r="AG21" s="11">
        <f t="shared" si="2"/>
        <v>8.9999999999999955E-2</v>
      </c>
      <c r="AH21" s="11">
        <f t="shared" si="2"/>
        <v>9.3333333333333282E-2</v>
      </c>
      <c r="AI21" s="11">
        <f t="shared" si="2"/>
        <v>9.6666666666666609E-2</v>
      </c>
      <c r="AJ21" s="11">
        <f t="shared" si="2"/>
        <v>9.9999999999999936E-2</v>
      </c>
    </row>
    <row r="22" spans="1:36" x14ac:dyDescent="0.25">
      <c r="A22" s="10"/>
      <c r="B22" s="11" t="s">
        <v>9</v>
      </c>
      <c r="C22" s="11">
        <v>100</v>
      </c>
      <c r="D22" s="10"/>
      <c r="E22" s="10" t="s">
        <v>7</v>
      </c>
      <c r="F22" s="10">
        <f>F25/C10*C4+G22</f>
        <v>165.83848716433621</v>
      </c>
      <c r="G22" s="10">
        <v>159.17182049766956</v>
      </c>
      <c r="H22" s="10">
        <v>152.88296823612703</v>
      </c>
      <c r="I22" s="10">
        <v>146.97843197605218</v>
      </c>
      <c r="J22" s="10">
        <v>141.44105113159026</v>
      </c>
      <c r="K22" s="10">
        <v>136.28999959249614</v>
      </c>
      <c r="L22" s="10">
        <v>131.49165620994387</v>
      </c>
      <c r="M22" s="10">
        <v>127.07688986454474</v>
      </c>
      <c r="N22" s="10">
        <v>122.99698840098777</v>
      </c>
      <c r="O22" s="10">
        <v>119.29293747280417</v>
      </c>
      <c r="P22" s="10">
        <v>115.90291335551692</v>
      </c>
      <c r="Q22" s="10">
        <v>112.87591285940874</v>
      </c>
      <c r="R22" s="10">
        <v>110.13950379066938</v>
      </c>
      <c r="S22" s="10">
        <v>107.74815930961509</v>
      </c>
      <c r="T22" s="10">
        <v>105.62175649584329</v>
      </c>
      <c r="U22" s="10">
        <v>103.81739929312104</v>
      </c>
      <c r="V22" s="10">
        <v>102.2504793948321</v>
      </c>
      <c r="W22" s="10">
        <v>100.97770845662521</v>
      </c>
      <c r="X22" s="10">
        <v>99.913346240359388</v>
      </c>
      <c r="Y22" s="10">
        <v>99.110653526840125</v>
      </c>
      <c r="Z22" s="10">
        <v>98.486113956428184</v>
      </c>
      <c r="AA22" s="10">
        <v>98.086587552725263</v>
      </c>
      <c r="AB22" s="10">
        <v>97.833994436097726</v>
      </c>
      <c r="AC22" s="10">
        <v>97.766092519125749</v>
      </c>
      <c r="AD22" s="10">
        <v>97.813168920227341</v>
      </c>
      <c r="AE22" s="10">
        <v>98.001555604562185</v>
      </c>
      <c r="AF22" s="10">
        <v>98.272429162016692</v>
      </c>
      <c r="AG22" s="10">
        <v>98.638861489143295</v>
      </c>
      <c r="AH22" s="10">
        <v>99.054925699107514</v>
      </c>
      <c r="AI22" s="10">
        <v>99.519179427745144</v>
      </c>
      <c r="AJ22" s="10">
        <v>100</v>
      </c>
    </row>
    <row r="23" spans="1:36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x14ac:dyDescent="0.25">
      <c r="A24" s="10"/>
      <c r="B24" s="10"/>
      <c r="C24" s="10"/>
      <c r="D24" s="10"/>
      <c r="E24" s="10" t="s">
        <v>12</v>
      </c>
      <c r="F24" s="10"/>
      <c r="G24" s="10">
        <f>G22+(($C$10*$C$5)/($C$9*$C$8))*((H22-2*G22+F22)/($C$4^2))</f>
        <v>159.36072770023162</v>
      </c>
      <c r="H24" s="10">
        <f>H22+(($C$10*$C$5)/($C$9*$C$8))*((I22-2*H22+G22)/($C$4^2))</f>
        <v>153.07512623686085</v>
      </c>
      <c r="I24" s="10">
        <f>I22+(($C$10*$C$5)/($C$9*$C$8))*((J22-2*I22+H22)/($C$4^2))</f>
        <v>147.16200968385863</v>
      </c>
      <c r="J24" s="10">
        <f t="shared" ref="J24:AI24" si="3">J22+(($C$10*$C$5)/($C$9*$C$8))*((K22-2*J22+I22)/($C$4^2))</f>
        <v>141.63421578427418</v>
      </c>
      <c r="K24" s="10">
        <f t="shared" si="3"/>
        <v>136.46635367076706</v>
      </c>
      <c r="L24" s="10">
        <f t="shared" si="3"/>
        <v>131.68344472852044</v>
      </c>
      <c r="M24" s="10">
        <f t="shared" si="3"/>
        <v>127.24432230546583</v>
      </c>
      <c r="N24" s="10">
        <f>N22+(($C$10*$C$5)/($C$9*$C$8))*((O22-2*N22+M22)/($C$4^2))</f>
        <v>123.18491366867445</v>
      </c>
      <c r="O24" s="10">
        <f t="shared" si="3"/>
        <v>119.44995087825234</v>
      </c>
      <c r="P24" s="10">
        <f t="shared" si="3"/>
        <v>116.08442516610646</v>
      </c>
      <c r="Q24" s="10">
        <f t="shared" si="3"/>
        <v>113.02120857309315</v>
      </c>
      <c r="R24" s="10">
        <f t="shared" si="3"/>
        <v>110.31203608451192</v>
      </c>
      <c r="S24" s="10">
        <f t="shared" si="3"/>
        <v>107.88063014325633</v>
      </c>
      <c r="T24" s="10">
        <f t="shared" si="3"/>
        <v>105.78277930136807</v>
      </c>
      <c r="U24" s="10">
        <f t="shared" si="3"/>
        <v>103.93611794533768</v>
      </c>
      <c r="V24" s="10">
        <f t="shared" si="3"/>
        <v>102.39755387487313</v>
      </c>
      <c r="W24" s="10">
        <f t="shared" si="3"/>
        <v>101.08191281759574</v>
      </c>
      <c r="X24" s="10">
        <f t="shared" si="3"/>
        <v>100.04418099173267</v>
      </c>
      <c r="Y24" s="10">
        <f t="shared" si="3"/>
        <v>99.199730098393786</v>
      </c>
      <c r="Z24" s="10">
        <f t="shared" si="3"/>
        <v>98.598620539782686</v>
      </c>
      <c r="AA24" s="10">
        <f t="shared" si="3"/>
        <v>98.160054196262962</v>
      </c>
      <c r="AB24" s="10">
        <f t="shared" si="3"/>
        <v>97.926340035925506</v>
      </c>
      <c r="AC24" s="10">
        <f t="shared" si="3"/>
        <v>97.823581678162526</v>
      </c>
      <c r="AD24" s="10">
        <f t="shared" si="3"/>
        <v>97.883824061843967</v>
      </c>
      <c r="AE24" s="10">
        <f t="shared" si="3"/>
        <v>98.042799041122009</v>
      </c>
      <c r="AF24" s="10">
        <f t="shared" si="3"/>
        <v>98.32020854685274</v>
      </c>
      <c r="AG24" s="10">
        <f t="shared" si="3"/>
        <v>98.663677430562103</v>
      </c>
      <c r="AH24" s="10">
        <f t="shared" si="3"/>
        <v>99.079020458444219</v>
      </c>
      <c r="AI24" s="10">
        <f t="shared" si="3"/>
        <v>99.527462849553757</v>
      </c>
      <c r="AJ24" s="10"/>
    </row>
    <row r="25" spans="1:36" x14ac:dyDescent="0.25">
      <c r="A25" s="10"/>
      <c r="B25" s="10"/>
      <c r="C25" s="10"/>
      <c r="D25" s="10"/>
      <c r="E25" s="10" t="s">
        <v>13</v>
      </c>
      <c r="F25" s="10">
        <v>92000</v>
      </c>
      <c r="G25" s="10">
        <f>-$C$10*(G22-F22)/$C$4</f>
        <v>91999.999999999869</v>
      </c>
      <c r="H25" s="10">
        <f>-$C$10*(H22-G22)/$C$4</f>
        <v>86786.161209286918</v>
      </c>
      <c r="I25" s="10">
        <f>-$C$10*(I22-H22)/$C$4</f>
        <v>81482.600389032916</v>
      </c>
      <c r="J25" s="10">
        <f>-$C$10*(J22-I22)/$C$4</f>
        <v>76415.855653574516</v>
      </c>
      <c r="K25" s="10">
        <f t="shared" ref="K25:AI25" si="4">-$C$10*(K22-J22)/$C$4</f>
        <v>71084.511239498752</v>
      </c>
      <c r="L25" s="10">
        <f t="shared" si="4"/>
        <v>66217.138679221389</v>
      </c>
      <c r="M25" s="10">
        <f t="shared" si="4"/>
        <v>60923.775566507989</v>
      </c>
      <c r="N25" s="10">
        <f>-$C$10*(N22-M22)/$C$4</f>
        <v>56302.640197086112</v>
      </c>
      <c r="O25" s="10">
        <f t="shared" si="4"/>
        <v>51115.902808933744</v>
      </c>
      <c r="P25" s="10">
        <f t="shared" si="4"/>
        <v>46782.3328185641</v>
      </c>
      <c r="Q25" s="10">
        <f t="shared" si="4"/>
        <v>41772.60684629278</v>
      </c>
      <c r="R25" s="10">
        <f t="shared" si="4"/>
        <v>37762.445148603205</v>
      </c>
      <c r="S25" s="10">
        <f t="shared" si="4"/>
        <v>33000.553838549196</v>
      </c>
      <c r="T25" s="10">
        <f t="shared" si="4"/>
        <v>29344.358830050896</v>
      </c>
      <c r="U25" s="10">
        <f t="shared" si="4"/>
        <v>24900.129397566965</v>
      </c>
      <c r="V25" s="10">
        <f t="shared" si="4"/>
        <v>21623.494596387427</v>
      </c>
      <c r="W25" s="10">
        <f t="shared" si="4"/>
        <v>17564.238947255075</v>
      </c>
      <c r="X25" s="10">
        <f t="shared" si="4"/>
        <v>14688.19858446832</v>
      </c>
      <c r="Y25" s="10">
        <f t="shared" si="4"/>
        <v>11077.159446565838</v>
      </c>
      <c r="Z25" s="10">
        <f t="shared" si="4"/>
        <v>8618.646071684776</v>
      </c>
      <c r="AA25" s="10">
        <f t="shared" si="4"/>
        <v>5513.4643711003173</v>
      </c>
      <c r="AB25" s="10">
        <f t="shared" si="4"/>
        <v>3485.7850094600108</v>
      </c>
      <c r="AC25" s="10">
        <f t="shared" si="4"/>
        <v>937.04645421327643</v>
      </c>
      <c r="AD25" s="10">
        <f t="shared" si="4"/>
        <v>-649.65433520196427</v>
      </c>
      <c r="AE25" s="10">
        <f t="shared" si="4"/>
        <v>-2599.7362438208511</v>
      </c>
      <c r="AF25" s="10">
        <f t="shared" si="4"/>
        <v>-3738.0550928722014</v>
      </c>
      <c r="AG25" s="10">
        <f t="shared" si="4"/>
        <v>-5056.7661143471178</v>
      </c>
      <c r="AH25" s="10">
        <f t="shared" si="4"/>
        <v>-5741.68609750622</v>
      </c>
      <c r="AI25" s="10">
        <f t="shared" si="4"/>
        <v>-6406.7014551992879</v>
      </c>
      <c r="AJ25" s="10"/>
    </row>
    <row r="26" spans="1:36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x14ac:dyDescent="0.25">
      <c r="A29" s="10"/>
      <c r="B29" s="10"/>
      <c r="C29" s="10"/>
      <c r="D29" s="10"/>
      <c r="E29" s="10"/>
      <c r="F29" s="11">
        <v>1</v>
      </c>
      <c r="G29" s="11">
        <v>2</v>
      </c>
      <c r="H29" s="11">
        <v>3</v>
      </c>
      <c r="I29" s="11">
        <v>4</v>
      </c>
      <c r="J29" s="11">
        <v>5</v>
      </c>
      <c r="K29" s="11">
        <v>6</v>
      </c>
      <c r="L29" s="11">
        <v>7</v>
      </c>
      <c r="M29" s="11">
        <v>8</v>
      </c>
      <c r="N29" s="11">
        <v>9</v>
      </c>
      <c r="O29" s="11">
        <v>10</v>
      </c>
      <c r="P29" s="11">
        <v>11</v>
      </c>
      <c r="Q29" s="11">
        <v>12</v>
      </c>
      <c r="R29" s="11">
        <v>13</v>
      </c>
      <c r="S29" s="11">
        <v>14</v>
      </c>
      <c r="T29" s="11">
        <v>15</v>
      </c>
      <c r="U29" s="11">
        <v>16</v>
      </c>
      <c r="V29" s="11">
        <v>17</v>
      </c>
      <c r="W29" s="11">
        <v>18</v>
      </c>
      <c r="X29" s="11">
        <v>19</v>
      </c>
      <c r="Y29" s="11">
        <v>20</v>
      </c>
      <c r="Z29" s="11">
        <v>21</v>
      </c>
      <c r="AA29" s="11">
        <v>22</v>
      </c>
      <c r="AB29" s="11">
        <v>23</v>
      </c>
      <c r="AC29" s="11">
        <v>24</v>
      </c>
      <c r="AD29" s="11">
        <v>25</v>
      </c>
      <c r="AE29" s="11">
        <v>26</v>
      </c>
      <c r="AF29" s="11">
        <v>27</v>
      </c>
      <c r="AG29" s="11">
        <v>28</v>
      </c>
      <c r="AH29" s="11">
        <v>29</v>
      </c>
      <c r="AI29" s="11">
        <v>30</v>
      </c>
      <c r="AJ29" s="11">
        <v>31</v>
      </c>
    </row>
    <row r="30" spans="1:36" x14ac:dyDescent="0.25">
      <c r="A30" s="10"/>
      <c r="B30" s="11" t="s">
        <v>11</v>
      </c>
      <c r="C30" s="11">
        <v>92000</v>
      </c>
      <c r="D30" s="10"/>
      <c r="E30" s="10" t="s">
        <v>0</v>
      </c>
      <c r="F30" s="11">
        <v>0</v>
      </c>
      <c r="G30" s="11">
        <f>F30+$C$4</f>
        <v>3.3333333333333335E-3</v>
      </c>
      <c r="H30" s="11">
        <f t="shared" ref="H30:AJ30" si="5">G30+$C$4</f>
        <v>6.6666666666666671E-3</v>
      </c>
      <c r="I30" s="11">
        <f t="shared" si="5"/>
        <v>0.01</v>
      </c>
      <c r="J30" s="11">
        <f t="shared" si="5"/>
        <v>1.3333333333333334E-2</v>
      </c>
      <c r="K30" s="11">
        <f t="shared" si="5"/>
        <v>1.6666666666666666E-2</v>
      </c>
      <c r="L30" s="11">
        <f t="shared" si="5"/>
        <v>0.02</v>
      </c>
      <c r="M30" s="11">
        <f t="shared" si="5"/>
        <v>2.3333333333333334E-2</v>
      </c>
      <c r="N30" s="11">
        <f t="shared" si="5"/>
        <v>2.6666666666666668E-2</v>
      </c>
      <c r="O30" s="11">
        <f t="shared" si="5"/>
        <v>3.0000000000000002E-2</v>
      </c>
      <c r="P30" s="11">
        <f t="shared" si="5"/>
        <v>3.3333333333333333E-2</v>
      </c>
      <c r="Q30" s="11">
        <f t="shared" si="5"/>
        <v>3.6666666666666667E-2</v>
      </c>
      <c r="R30" s="11">
        <f t="shared" si="5"/>
        <v>0.04</v>
      </c>
      <c r="S30" s="11">
        <f t="shared" si="5"/>
        <v>4.3333333333333335E-2</v>
      </c>
      <c r="T30" s="11">
        <f t="shared" si="5"/>
        <v>4.6666666666666669E-2</v>
      </c>
      <c r="U30" s="11">
        <f t="shared" si="5"/>
        <v>0.05</v>
      </c>
      <c r="V30" s="11">
        <f t="shared" si="5"/>
        <v>5.3333333333333337E-2</v>
      </c>
      <c r="W30" s="11">
        <f t="shared" si="5"/>
        <v>5.6666666666666671E-2</v>
      </c>
      <c r="X30" s="11">
        <f t="shared" si="5"/>
        <v>6.0000000000000005E-2</v>
      </c>
      <c r="Y30" s="11">
        <f t="shared" si="5"/>
        <v>6.3333333333333339E-2</v>
      </c>
      <c r="Z30" s="11">
        <f t="shared" si="5"/>
        <v>6.6666666666666666E-2</v>
      </c>
      <c r="AA30" s="11">
        <f t="shared" si="5"/>
        <v>6.9999999999999993E-2</v>
      </c>
      <c r="AB30" s="11">
        <f t="shared" si="5"/>
        <v>7.333333333333332E-2</v>
      </c>
      <c r="AC30" s="11">
        <f t="shared" si="5"/>
        <v>7.6666666666666647E-2</v>
      </c>
      <c r="AD30" s="11">
        <f t="shared" si="5"/>
        <v>7.9999999999999974E-2</v>
      </c>
      <c r="AE30" s="11">
        <f t="shared" si="5"/>
        <v>8.3333333333333301E-2</v>
      </c>
      <c r="AF30" s="11">
        <f t="shared" si="5"/>
        <v>8.6666666666666628E-2</v>
      </c>
      <c r="AG30" s="11">
        <f t="shared" si="5"/>
        <v>8.9999999999999955E-2</v>
      </c>
      <c r="AH30" s="11">
        <f t="shared" si="5"/>
        <v>9.3333333333333282E-2</v>
      </c>
      <c r="AI30" s="11">
        <f t="shared" si="5"/>
        <v>9.6666666666666609E-2</v>
      </c>
      <c r="AJ30" s="11">
        <f t="shared" si="5"/>
        <v>9.9999999999999936E-2</v>
      </c>
    </row>
    <row r="31" spans="1:36" x14ac:dyDescent="0.25">
      <c r="A31" s="10"/>
      <c r="B31" s="11" t="s">
        <v>9</v>
      </c>
      <c r="C31" s="11">
        <v>100</v>
      </c>
      <c r="D31" s="10"/>
      <c r="E31" s="10" t="s">
        <v>7</v>
      </c>
      <c r="F31" s="10">
        <f>($C$33*$C$4*$C$32+$C$10*$G$31)/($C$10+$C$33*$C$4)</f>
        <v>299.99985163261891</v>
      </c>
      <c r="G31" s="10">
        <v>293.3331742146928</v>
      </c>
      <c r="H31" s="10">
        <v>286.66649776466045</v>
      </c>
      <c r="I31" s="10">
        <v>279.99982234203355</v>
      </c>
      <c r="J31" s="10">
        <v>273.33314800007156</v>
      </c>
      <c r="K31" s="10">
        <v>266.66647478546452</v>
      </c>
      <c r="L31" s="10">
        <v>259.99980273803936</v>
      </c>
      <c r="M31" s="10">
        <v>253.33313189053024</v>
      </c>
      <c r="N31" s="10">
        <v>246.66646226836411</v>
      </c>
      <c r="O31" s="10">
        <v>239.99979388952389</v>
      </c>
      <c r="P31" s="10">
        <v>233.33312676441892</v>
      </c>
      <c r="Q31" s="10">
        <v>226.66646089584373</v>
      </c>
      <c r="R31" s="10">
        <v>219.9997962789374</v>
      </c>
      <c r="S31" s="10">
        <v>213.33313290123812</v>
      </c>
      <c r="T31" s="10">
        <v>206.66647074273277</v>
      </c>
      <c r="U31" s="10">
        <v>199.99980977600597</v>
      </c>
      <c r="V31" s="10">
        <v>193.33314996637864</v>
      </c>
      <c r="W31" s="10">
        <v>186.66649127214777</v>
      </c>
      <c r="X31" s="10">
        <v>179.99983364481102</v>
      </c>
      <c r="Y31" s="10">
        <v>173.33317702939058</v>
      </c>
      <c r="Z31" s="10">
        <v>166.66652136473954</v>
      </c>
      <c r="AA31" s="10">
        <v>159.99986658394076</v>
      </c>
      <c r="AB31" s="10">
        <v>153.33321261468828</v>
      </c>
      <c r="AC31" s="10">
        <v>146.66655937975133</v>
      </c>
      <c r="AD31" s="10">
        <v>139.99990679742166</v>
      </c>
      <c r="AE31" s="10">
        <v>133.33325478203096</v>
      </c>
      <c r="AF31" s="10">
        <v>126.66660324445392</v>
      </c>
      <c r="AG31" s="10">
        <v>119.99995209266579</v>
      </c>
      <c r="AH31" s="10">
        <v>113.33330123228947</v>
      </c>
      <c r="AI31" s="10">
        <v>106.66665056717957</v>
      </c>
      <c r="AJ31" s="10">
        <v>100</v>
      </c>
    </row>
    <row r="32" spans="1:36" x14ac:dyDescent="0.25">
      <c r="A32" s="10"/>
      <c r="B32" s="10" t="s">
        <v>14</v>
      </c>
      <c r="C32" s="10">
        <v>392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x14ac:dyDescent="0.25">
      <c r="A33" s="10"/>
      <c r="B33" s="10" t="s">
        <v>15</v>
      </c>
      <c r="C33" s="10">
        <v>1000</v>
      </c>
      <c r="D33" s="10"/>
      <c r="E33" s="10" t="s">
        <v>12</v>
      </c>
      <c r="F33" s="10"/>
      <c r="G33" s="10">
        <f>G31+(($C$10*$C$5)/($C$9*$C$8))*((H31-2*G31+F31)/($C$4^2))</f>
        <v>293.33317469863971</v>
      </c>
      <c r="H33" s="10">
        <f t="shared" ref="H33:AI33" si="6">H31+(($C$10*$C$5)/($C$9*$C$8))*((I31-2*H31+G31)/($C$4^2))</f>
        <v>286.66649827836318</v>
      </c>
      <c r="I33" s="10">
        <f t="shared" si="6"/>
        <v>279.999822882366</v>
      </c>
      <c r="J33" s="10">
        <f t="shared" si="6"/>
        <v>273.33314856374903</v>
      </c>
      <c r="K33" s="10">
        <f t="shared" si="6"/>
        <v>266.66647536905543</v>
      </c>
      <c r="L33" s="10">
        <f t="shared" si="6"/>
        <v>259.99980333799738</v>
      </c>
      <c r="M33" s="10">
        <f t="shared" si="6"/>
        <v>253.33313250320174</v>
      </c>
      <c r="N33" s="10">
        <f t="shared" si="6"/>
        <v>246.66646289002705</v>
      </c>
      <c r="O33" s="10">
        <f t="shared" si="6"/>
        <v>239.99979451639152</v>
      </c>
      <c r="P33" s="10">
        <f t="shared" si="6"/>
        <v>233.33312739268382</v>
      </c>
      <c r="Q33" s="10">
        <f t="shared" si="6"/>
        <v>226.66646152167817</v>
      </c>
      <c r="R33" s="10">
        <f t="shared" si="6"/>
        <v>219.99979689854092</v>
      </c>
      <c r="S33" s="10">
        <f t="shared" si="6"/>
        <v>213.33313351083507</v>
      </c>
      <c r="T33" s="10">
        <f t="shared" si="6"/>
        <v>206.66647133862205</v>
      </c>
      <c r="U33" s="10">
        <f t="shared" si="6"/>
        <v>199.99981035455571</v>
      </c>
      <c r="V33" s="10">
        <f t="shared" si="6"/>
        <v>193.33315052407687</v>
      </c>
      <c r="W33" s="10">
        <f t="shared" si="6"/>
        <v>186.66649180559483</v>
      </c>
      <c r="X33" s="10">
        <f t="shared" si="6"/>
        <v>179.99983415076917</v>
      </c>
      <c r="Y33" s="10">
        <f t="shared" si="6"/>
        <v>173.33317750477528</v>
      </c>
      <c r="Z33" s="10">
        <f t="shared" si="6"/>
        <v>166.66652180666568</v>
      </c>
      <c r="AA33" s="10">
        <f t="shared" si="6"/>
        <v>159.99986698971389</v>
      </c>
      <c r="AB33" s="10">
        <f t="shared" si="6"/>
        <v>153.33321298184603</v>
      </c>
      <c r="AC33" s="10">
        <f t="shared" si="6"/>
        <v>146.66655970605495</v>
      </c>
      <c r="AD33" s="10">
        <f t="shared" si="6"/>
        <v>139.99990708089115</v>
      </c>
      <c r="AE33" s="10">
        <f t="shared" si="6"/>
        <v>133.3332550209378</v>
      </c>
      <c r="AF33" s="10">
        <f t="shared" si="6"/>
        <v>126.66660343734837</v>
      </c>
      <c r="AG33" s="10">
        <f t="shared" si="6"/>
        <v>119.99995223837169</v>
      </c>
      <c r="AH33" s="10">
        <f t="shared" si="6"/>
        <v>113.33330132992268</v>
      </c>
      <c r="AI33" s="10">
        <f t="shared" si="6"/>
        <v>106.66665061614474</v>
      </c>
      <c r="AJ33" s="10"/>
    </row>
    <row r="34" spans="1:36" x14ac:dyDescent="0.25">
      <c r="A34" s="10"/>
      <c r="B34" s="10"/>
      <c r="C34" s="10"/>
      <c r="D34" s="10"/>
      <c r="E34" s="10" t="s">
        <v>13</v>
      </c>
      <c r="F34" s="10">
        <v>92000</v>
      </c>
      <c r="G34" s="10">
        <f>-$C$10*(G31-F31)/$C$4</f>
        <v>92000.148367380301</v>
      </c>
      <c r="H34" s="10">
        <f t="shared" ref="H34:AI34" si="7">-$C$10*(H31-G31)/$C$4</f>
        <v>92000.135010446495</v>
      </c>
      <c r="I34" s="10">
        <f t="shared" si="7"/>
        <v>92000.120832251137</v>
      </c>
      <c r="J34" s="10">
        <f t="shared" si="7"/>
        <v>92000.105919075504</v>
      </c>
      <c r="K34" s="10">
        <f t="shared" si="7"/>
        <v>92000.090361577211</v>
      </c>
      <c r="L34" s="10">
        <f t="shared" si="7"/>
        <v>92000.074254467094</v>
      </c>
      <c r="M34" s="10">
        <f t="shared" si="7"/>
        <v>92000.057695625903</v>
      </c>
      <c r="N34" s="10">
        <f t="shared" si="7"/>
        <v>92000.040785892532</v>
      </c>
      <c r="O34" s="10">
        <f t="shared" si="7"/>
        <v>92000.023627995135</v>
      </c>
      <c r="P34" s="10">
        <f t="shared" si="7"/>
        <v>92000.006326448507</v>
      </c>
      <c r="Q34" s="10">
        <f t="shared" si="7"/>
        <v>91999.988986337674</v>
      </c>
      <c r="R34" s="10">
        <f t="shared" si="7"/>
        <v>91999.971713307372</v>
      </c>
      <c r="S34" s="10">
        <f t="shared" si="7"/>
        <v>91999.954612250047</v>
      </c>
      <c r="T34" s="10">
        <f t="shared" si="7"/>
        <v>91999.937787373769</v>
      </c>
      <c r="U34" s="10">
        <f t="shared" si="7"/>
        <v>91999.921340829766</v>
      </c>
      <c r="V34" s="10">
        <f t="shared" si="7"/>
        <v>91999.905372857189</v>
      </c>
      <c r="W34" s="10">
        <f t="shared" si="7"/>
        <v>91999.88998038607</v>
      </c>
      <c r="X34" s="10">
        <f t="shared" si="7"/>
        <v>91999.875257247098</v>
      </c>
      <c r="Y34" s="10">
        <f t="shared" si="7"/>
        <v>91999.861292802016</v>
      </c>
      <c r="Z34" s="10">
        <f t="shared" si="7"/>
        <v>91999.848172184429</v>
      </c>
      <c r="AA34" s="10">
        <f t="shared" si="7"/>
        <v>91999.835975023161</v>
      </c>
      <c r="AB34" s="10">
        <f t="shared" si="7"/>
        <v>91999.824775684203</v>
      </c>
      <c r="AC34" s="10">
        <f t="shared" si="7"/>
        <v>91999.81464212983</v>
      </c>
      <c r="AD34" s="10">
        <f t="shared" si="7"/>
        <v>91999.805636149511</v>
      </c>
      <c r="AE34" s="10">
        <f t="shared" si="7"/>
        <v>91999.797812391596</v>
      </c>
      <c r="AF34" s="10">
        <f t="shared" si="7"/>
        <v>91999.791218563143</v>
      </c>
      <c r="AG34" s="10">
        <f t="shared" si="7"/>
        <v>91999.785894676199</v>
      </c>
      <c r="AH34" s="10">
        <f t="shared" si="7"/>
        <v>91999.781873193249</v>
      </c>
      <c r="AI34" s="10">
        <f t="shared" si="7"/>
        <v>91999.77917851659</v>
      </c>
      <c r="AJ34" s="10"/>
    </row>
    <row r="35" spans="1:36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</sheetData>
  <conditionalFormatting sqref="F31:AJ3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max"/>
        <color rgb="FFFF7128"/>
        <color rgb="FF7030A0"/>
      </colorScale>
    </cfRule>
  </conditionalFormatting>
  <conditionalFormatting sqref="F22:AJ2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rgb="FFFF7128"/>
        <color rgb="FF7030A0"/>
      </colorScale>
    </cfRule>
  </conditionalFormatting>
  <conditionalFormatting sqref="F13:AJ1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7128"/>
        <color rgb="FF7030A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Неявный</vt:lpstr>
      <vt:lpstr>Явный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Evgenia</dc:creator>
  <cp:lastModifiedBy>Пользователь Windows</cp:lastModifiedBy>
  <dcterms:created xsi:type="dcterms:W3CDTF">2021-02-19T10:02:37Z</dcterms:created>
  <dcterms:modified xsi:type="dcterms:W3CDTF">2021-05-23T13:50:28Z</dcterms:modified>
</cp:coreProperties>
</file>